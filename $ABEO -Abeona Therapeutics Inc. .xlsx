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Owner\Downloads\"/>
    </mc:Choice>
  </mc:AlternateContent>
  <xr:revisionPtr revIDLastSave="0" documentId="8_{38BDA911-C98E-495C-9DE2-9724F9DA81F7}" xr6:coauthVersionLast="47" xr6:coauthVersionMax="47" xr10:uidLastSave="{00000000-0000-0000-0000-000000000000}"/>
  <bookViews>
    <workbookView xWindow="-28920" yWindow="-120" windowWidth="29040" windowHeight="15840" xr2:uid="{00000000-000D-0000-FFFF-FFFF00000000}"/>
  </bookViews>
  <sheets>
    <sheet name="cover" sheetId="8" r:id="rId1"/>
    <sheet name="model " sheetId="2" r:id="rId2"/>
    <sheet name="risk adjusted post approval " sheetId="3"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8" l="1"/>
  <c r="C22" i="8"/>
  <c r="C21" i="8"/>
  <c r="A39" i="3"/>
  <c r="H34" i="8"/>
  <c r="H28" i="8"/>
  <c r="H29" i="8"/>
  <c r="L29" i="8" s="1"/>
  <c r="H30" i="8"/>
  <c r="L30" i="8" s="1"/>
  <c r="H31" i="8"/>
  <c r="L31" i="8" s="1"/>
  <c r="H32" i="8"/>
  <c r="L32" i="8" s="1"/>
  <c r="H27" i="8"/>
  <c r="L27" i="8" s="1"/>
  <c r="H35" i="8"/>
  <c r="C15" i="8"/>
  <c r="C20" i="8" s="1"/>
  <c r="C23" i="8" s="1"/>
  <c r="F17" i="2" a="1"/>
  <c r="F17" i="2" s="1"/>
  <c r="K29" i="8"/>
  <c r="K30" i="8"/>
  <c r="K28" i="8"/>
  <c r="K27" i="8"/>
  <c r="K32" i="8"/>
  <c r="K31" i="8" l="1"/>
  <c r="G33" i="8"/>
  <c r="H33" i="8" s="1"/>
  <c r="J33" i="8"/>
  <c r="E7" i="8"/>
  <c r="E8" i="8"/>
  <c r="E9" i="8"/>
  <c r="E11" i="8"/>
  <c r="F11" i="8"/>
  <c r="H11" i="8"/>
  <c r="E12" i="8"/>
  <c r="E13" i="8"/>
  <c r="E14" i="8"/>
  <c r="F6" i="8"/>
  <c r="H6" i="8"/>
  <c r="F100" i="3"/>
  <c r="F101" i="3"/>
  <c r="C5" i="8" a="1"/>
  <c r="C5" i="8" s="1"/>
  <c r="C7" i="8" s="1"/>
  <c r="F49" i="3"/>
  <c r="G95" i="3"/>
  <c r="H95" i="3" s="1"/>
  <c r="I95" i="3" s="1"/>
  <c r="J95" i="3" s="1"/>
  <c r="K95" i="3" s="1"/>
  <c r="L95" i="3" s="1"/>
  <c r="M95" i="3" s="1"/>
  <c r="N95" i="3" s="1"/>
  <c r="O95" i="3" s="1"/>
  <c r="P95" i="3" s="1"/>
  <c r="Q95" i="3" s="1"/>
  <c r="R95" i="3" s="1"/>
  <c r="S95" i="3" s="1"/>
  <c r="T95" i="3" s="1"/>
  <c r="U95" i="3" s="1"/>
  <c r="V95" i="3" s="1"/>
  <c r="W95" i="3" s="1"/>
  <c r="G90" i="3"/>
  <c r="H90" i="3" s="1"/>
  <c r="I90" i="3" s="1"/>
  <c r="J90" i="3" s="1"/>
  <c r="K90" i="3" s="1"/>
  <c r="L90" i="3" s="1"/>
  <c r="M90" i="3" s="1"/>
  <c r="N90" i="3" s="1"/>
  <c r="O90" i="3" s="1"/>
  <c r="P90" i="3" s="1"/>
  <c r="Q90" i="3" s="1"/>
  <c r="R90" i="3" s="1"/>
  <c r="S90" i="3" s="1"/>
  <c r="T90" i="3" s="1"/>
  <c r="U90" i="3" s="1"/>
  <c r="V90" i="3" s="1"/>
  <c r="W90" i="3" s="1"/>
  <c r="F85" i="3"/>
  <c r="I83" i="3"/>
  <c r="F82" i="3"/>
  <c r="J78" i="3"/>
  <c r="I78" i="3"/>
  <c r="H78" i="3"/>
  <c r="G78" i="3"/>
  <c r="F78" i="3"/>
  <c r="P65" i="3"/>
  <c r="Q65" i="3" s="1"/>
  <c r="R65" i="3" s="1"/>
  <c r="S65" i="3" s="1"/>
  <c r="T65" i="3" s="1"/>
  <c r="U65" i="3" s="1"/>
  <c r="V65" i="3" s="1"/>
  <c r="W65" i="3" s="1"/>
  <c r="G65" i="3"/>
  <c r="H65" i="3" s="1"/>
  <c r="I65" i="3" s="1"/>
  <c r="J65" i="3" s="1"/>
  <c r="K65" i="3" s="1"/>
  <c r="L65" i="3" s="1"/>
  <c r="M65" i="3" s="1"/>
  <c r="N65" i="3" s="1"/>
  <c r="E50" i="3"/>
  <c r="W49" i="3"/>
  <c r="V49" i="3"/>
  <c r="U49" i="3"/>
  <c r="T49" i="3"/>
  <c r="S49" i="3"/>
  <c r="R49" i="3"/>
  <c r="Q49" i="3"/>
  <c r="P49" i="3"/>
  <c r="O49" i="3"/>
  <c r="N49" i="3"/>
  <c r="M49" i="3"/>
  <c r="L49" i="3"/>
  <c r="K49" i="3"/>
  <c r="J49" i="3"/>
  <c r="I49" i="3"/>
  <c r="H49" i="3"/>
  <c r="G49" i="3"/>
  <c r="H45" i="3"/>
  <c r="G45" i="3"/>
  <c r="F45" i="3"/>
  <c r="F38" i="3"/>
  <c r="F39" i="3" s="1"/>
  <c r="G37" i="3"/>
  <c r="G38" i="3" s="1"/>
  <c r="G39" i="3" s="1"/>
  <c r="W34" i="3"/>
  <c r="V34" i="3"/>
  <c r="U34" i="3"/>
  <c r="T34" i="3"/>
  <c r="S34" i="3"/>
  <c r="R34" i="3"/>
  <c r="Q34" i="3"/>
  <c r="P34" i="3"/>
  <c r="O34" i="3"/>
  <c r="N34" i="3"/>
  <c r="M34" i="3"/>
  <c r="L34" i="3"/>
  <c r="K34" i="3"/>
  <c r="J34" i="3"/>
  <c r="I34" i="3"/>
  <c r="H34" i="3"/>
  <c r="G34" i="3"/>
  <c r="F34" i="3"/>
  <c r="W30" i="3"/>
  <c r="W31" i="3" s="1"/>
  <c r="V30" i="3"/>
  <c r="V31" i="3" s="1"/>
  <c r="U30" i="3"/>
  <c r="U31" i="3" s="1"/>
  <c r="T30" i="3"/>
  <c r="T31" i="3" s="1"/>
  <c r="S30" i="3"/>
  <c r="S31" i="3" s="1"/>
  <c r="R30" i="3"/>
  <c r="R31" i="3" s="1"/>
  <c r="Q30" i="3"/>
  <c r="Q31" i="3" s="1"/>
  <c r="P30" i="3"/>
  <c r="P31" i="3" s="1"/>
  <c r="O30" i="3"/>
  <c r="O31" i="3" s="1"/>
  <c r="N30" i="3"/>
  <c r="N31" i="3" s="1"/>
  <c r="M30" i="3"/>
  <c r="M31" i="3" s="1"/>
  <c r="L30" i="3"/>
  <c r="L31" i="3" s="1"/>
  <c r="K30" i="3"/>
  <c r="K31" i="3" s="1"/>
  <c r="J30" i="3"/>
  <c r="J31" i="3" s="1"/>
  <c r="I30" i="3"/>
  <c r="I31" i="3" s="1"/>
  <c r="H30" i="3"/>
  <c r="H31" i="3" s="1"/>
  <c r="G30" i="3"/>
  <c r="G31" i="3" s="1"/>
  <c r="F30" i="3"/>
  <c r="F31" i="3" s="1"/>
  <c r="F35" i="3" s="1"/>
  <c r="G35" i="3" s="1"/>
  <c r="H35" i="3" s="1"/>
  <c r="I35" i="3" s="1"/>
  <c r="J35" i="3" s="1"/>
  <c r="K35" i="3" s="1"/>
  <c r="G28" i="3"/>
  <c r="H28" i="3" s="1"/>
  <c r="I28" i="3" s="1"/>
  <c r="J28" i="3" s="1"/>
  <c r="K28" i="3" s="1"/>
  <c r="L28" i="3" s="1"/>
  <c r="M28" i="3" s="1"/>
  <c r="N28" i="3" s="1"/>
  <c r="O28" i="3" s="1"/>
  <c r="P28" i="3" s="1"/>
  <c r="Q28" i="3" s="1"/>
  <c r="R28" i="3" s="1"/>
  <c r="S28" i="3" s="1"/>
  <c r="T28" i="3" s="1"/>
  <c r="U28" i="3" s="1"/>
  <c r="V28" i="3" s="1"/>
  <c r="W28" i="3" s="1"/>
  <c r="C23" i="3"/>
  <c r="K19" i="3" s="1"/>
  <c r="C18" i="3"/>
  <c r="C19" i="3" s="1"/>
  <c r="C21" i="3" s="1"/>
  <c r="F17" i="3"/>
  <c r="F19" i="3" s="1"/>
  <c r="D10" i="3"/>
  <c r="C10" i="3"/>
  <c r="F9" i="3"/>
  <c r="F7" i="3"/>
  <c r="F6" i="3"/>
  <c r="C5" i="3"/>
  <c r="C4" i="3"/>
  <c r="F4" i="3" s="1"/>
  <c r="G107" i="2"/>
  <c r="G106" i="2"/>
  <c r="G105" i="2"/>
  <c r="S82" i="2"/>
  <c r="T82" i="2" s="1"/>
  <c r="U82" i="2" s="1"/>
  <c r="V82" i="2" s="1"/>
  <c r="W82" i="2" s="1"/>
  <c r="X82" i="2" s="1"/>
  <c r="M82" i="2"/>
  <c r="N82" i="2" s="1"/>
  <c r="O82" i="2" s="1"/>
  <c r="P82" i="2" s="1"/>
  <c r="Q82" i="2" s="1"/>
  <c r="R82" i="2" s="1"/>
  <c r="H82" i="2"/>
  <c r="I82" i="2" s="1"/>
  <c r="J82" i="2" s="1"/>
  <c r="K82" i="2" s="1"/>
  <c r="L82" i="2" s="1"/>
  <c r="G77" i="2"/>
  <c r="J75" i="2"/>
  <c r="J76" i="2" s="1"/>
  <c r="G74" i="2"/>
  <c r="K70" i="2"/>
  <c r="J70" i="2"/>
  <c r="I70" i="2"/>
  <c r="H70" i="2"/>
  <c r="G70" i="2"/>
  <c r="T58" i="2"/>
  <c r="U58" i="2" s="1"/>
  <c r="V58" i="2" s="1"/>
  <c r="W58" i="2" s="1"/>
  <c r="X58" i="2" s="1"/>
  <c r="S58" i="2"/>
  <c r="Q58" i="2"/>
  <c r="R58" i="2" s="1"/>
  <c r="H58" i="2"/>
  <c r="I58" i="2" s="1"/>
  <c r="J58" i="2" s="1"/>
  <c r="K58" i="2" s="1"/>
  <c r="L58" i="2" s="1"/>
  <c r="M58" i="2" s="1"/>
  <c r="N58" i="2" s="1"/>
  <c r="O58" i="2" s="1"/>
  <c r="X47" i="2"/>
  <c r="W47" i="2"/>
  <c r="V47" i="2"/>
  <c r="U47" i="2"/>
  <c r="T47" i="2"/>
  <c r="S47" i="2"/>
  <c r="R47" i="2"/>
  <c r="Q47" i="2"/>
  <c r="P47" i="2"/>
  <c r="O47" i="2"/>
  <c r="N47" i="2"/>
  <c r="M47" i="2"/>
  <c r="L47" i="2"/>
  <c r="K47" i="2"/>
  <c r="J47" i="2"/>
  <c r="I47" i="2"/>
  <c r="H47" i="2"/>
  <c r="G47" i="2"/>
  <c r="F47" i="2"/>
  <c r="I44" i="2"/>
  <c r="H44" i="2"/>
  <c r="G44" i="2"/>
  <c r="G40" i="2"/>
  <c r="H38" i="2"/>
  <c r="H39" i="2" s="1"/>
  <c r="G38" i="2"/>
  <c r="G39" i="2" s="1"/>
  <c r="H37" i="2"/>
  <c r="I37" i="2" s="1"/>
  <c r="I38" i="2" s="1"/>
  <c r="I39" i="2" s="1"/>
  <c r="H35" i="2"/>
  <c r="I35" i="2" s="1"/>
  <c r="J35" i="2" s="1"/>
  <c r="K35" i="2" s="1"/>
  <c r="L35" i="2" s="1"/>
  <c r="M35" i="2" s="1"/>
  <c r="N35" i="2" s="1"/>
  <c r="O35" i="2" s="1"/>
  <c r="X34" i="2"/>
  <c r="W34" i="2"/>
  <c r="V34" i="2"/>
  <c r="U34" i="2"/>
  <c r="T34" i="2"/>
  <c r="S34" i="2"/>
  <c r="R34" i="2"/>
  <c r="Q34" i="2"/>
  <c r="P34" i="2"/>
  <c r="O34" i="2"/>
  <c r="N34" i="2"/>
  <c r="M34" i="2"/>
  <c r="L34" i="2"/>
  <c r="K34" i="2"/>
  <c r="J34" i="2"/>
  <c r="I34" i="2"/>
  <c r="H34" i="2"/>
  <c r="G34" i="2"/>
  <c r="V31" i="2"/>
  <c r="U31" i="2"/>
  <c r="R31" i="2"/>
  <c r="Q31" i="2"/>
  <c r="M31" i="2"/>
  <c r="J31" i="2"/>
  <c r="I31" i="2"/>
  <c r="X30" i="2"/>
  <c r="X31" i="2" s="1"/>
  <c r="W30" i="2"/>
  <c r="W31" i="2" s="1"/>
  <c r="V30" i="2"/>
  <c r="U30" i="2"/>
  <c r="T30" i="2"/>
  <c r="T31" i="2" s="1"/>
  <c r="S30" i="2"/>
  <c r="S31" i="2" s="1"/>
  <c r="R30" i="2"/>
  <c r="Q30" i="2"/>
  <c r="P30" i="2"/>
  <c r="P31" i="2" s="1"/>
  <c r="O30" i="2"/>
  <c r="O31" i="2" s="1"/>
  <c r="N30" i="2"/>
  <c r="N31" i="2" s="1"/>
  <c r="M30" i="2"/>
  <c r="L30" i="2"/>
  <c r="L31" i="2" s="1"/>
  <c r="K30" i="2"/>
  <c r="K31" i="2" s="1"/>
  <c r="J30" i="2"/>
  <c r="I30" i="2"/>
  <c r="H30" i="2"/>
  <c r="H31" i="2" s="1"/>
  <c r="G30" i="2"/>
  <c r="G31" i="2" s="1"/>
  <c r="G35" i="2" s="1"/>
  <c r="J28" i="2"/>
  <c r="K28" i="2" s="1"/>
  <c r="L28" i="2" s="1"/>
  <c r="M28" i="2" s="1"/>
  <c r="N28" i="2" s="1"/>
  <c r="O28" i="2" s="1"/>
  <c r="P28" i="2" s="1"/>
  <c r="Q28" i="2" s="1"/>
  <c r="R28" i="2" s="1"/>
  <c r="S28" i="2" s="1"/>
  <c r="T28" i="2" s="1"/>
  <c r="U28" i="2" s="1"/>
  <c r="V28" i="2" s="1"/>
  <c r="W28" i="2" s="1"/>
  <c r="X28" i="2" s="1"/>
  <c r="I28" i="2"/>
  <c r="H28" i="2"/>
  <c r="C23" i="2"/>
  <c r="M19" i="2" s="1"/>
  <c r="K19" i="2"/>
  <c r="C19" i="2"/>
  <c r="C21" i="2" s="1"/>
  <c r="F22" i="2" s="1"/>
  <c r="C18" i="2"/>
  <c r="F21" i="2" s="1"/>
  <c r="F19" i="2"/>
  <c r="D10" i="2"/>
  <c r="C10" i="2"/>
  <c r="F9" i="2"/>
  <c r="F7" i="2"/>
  <c r="F6" i="2"/>
  <c r="F10" i="2" s="1"/>
  <c r="C5" i="2"/>
  <c r="F4" i="2"/>
  <c r="C4" i="2"/>
  <c r="K33" i="8" l="1"/>
  <c r="L33" i="8"/>
  <c r="C10" i="8"/>
  <c r="F102" i="3"/>
  <c r="K36" i="3"/>
  <c r="L35" i="3" s="1"/>
  <c r="F24" i="3"/>
  <c r="F10" i="3"/>
  <c r="C12" i="3" s="1"/>
  <c r="C13" i="3" s="1"/>
  <c r="J79" i="3"/>
  <c r="I85" i="3" s="1"/>
  <c r="H37" i="3"/>
  <c r="H38" i="3" s="1"/>
  <c r="H39" i="3" s="1"/>
  <c r="H40" i="3" s="1"/>
  <c r="H41" i="3" s="1"/>
  <c r="H42" i="3" s="1"/>
  <c r="K71" i="2"/>
  <c r="J77" i="2" s="1"/>
  <c r="I112" i="2"/>
  <c r="F83" i="3"/>
  <c r="H41" i="2"/>
  <c r="H45" i="2" s="1"/>
  <c r="H40" i="2"/>
  <c r="C12" i="2"/>
  <c r="C13" i="2" s="1"/>
  <c r="O36" i="2"/>
  <c r="P35" i="2"/>
  <c r="I40" i="2"/>
  <c r="I41" i="2"/>
  <c r="I45" i="2" s="1"/>
  <c r="L18" i="2"/>
  <c r="F20" i="2"/>
  <c r="F23" i="2" s="1"/>
  <c r="O18" i="2"/>
  <c r="K18" i="2"/>
  <c r="K20" i="2" s="1"/>
  <c r="N18" i="2"/>
  <c r="N20" i="2" s="1"/>
  <c r="J18" i="2"/>
  <c r="J20" i="2" s="1"/>
  <c r="M18" i="2"/>
  <c r="M20" i="2" s="1"/>
  <c r="N19" i="2"/>
  <c r="J37" i="2"/>
  <c r="C22" i="3"/>
  <c r="F22" i="3" s="1"/>
  <c r="F21" i="3"/>
  <c r="J19" i="2"/>
  <c r="O19" i="2"/>
  <c r="I110" i="2"/>
  <c r="I111" i="2"/>
  <c r="L19" i="2"/>
  <c r="N19" i="3"/>
  <c r="J19" i="3"/>
  <c r="M19" i="3"/>
  <c r="O19" i="3"/>
  <c r="L19" i="3"/>
  <c r="G41" i="2"/>
  <c r="G45" i="2" s="1"/>
  <c r="F40" i="3"/>
  <c r="F41" i="3" s="1"/>
  <c r="F42" i="3" s="1"/>
  <c r="G75" i="2"/>
  <c r="G78" i="2" s="1"/>
  <c r="G40" i="3"/>
  <c r="G41" i="3" s="1"/>
  <c r="G42" i="3" s="1"/>
  <c r="I84" i="3"/>
  <c r="J34" i="8" l="1"/>
  <c r="C16" i="8"/>
  <c r="D14" i="8"/>
  <c r="D13" i="8"/>
  <c r="F86" i="3"/>
  <c r="L36" i="3"/>
  <c r="M35" i="3" s="1"/>
  <c r="G46" i="3"/>
  <c r="G47" i="3"/>
  <c r="F46" i="3"/>
  <c r="F47" i="3"/>
  <c r="H46" i="3"/>
  <c r="H47" i="3"/>
  <c r="I37" i="3"/>
  <c r="J37" i="3" s="1"/>
  <c r="P36" i="2"/>
  <c r="Q35" i="2" s="1"/>
  <c r="K37" i="2"/>
  <c r="J38" i="2"/>
  <c r="J39" i="2" s="1"/>
  <c r="L20" i="2"/>
  <c r="N18" i="3"/>
  <c r="N20" i="3" s="1"/>
  <c r="J18" i="3"/>
  <c r="J20" i="3" s="1"/>
  <c r="M18" i="3"/>
  <c r="M20" i="3" s="1"/>
  <c r="F20" i="3"/>
  <c r="F23" i="3" s="1"/>
  <c r="O18" i="3"/>
  <c r="O20" i="3" s="1"/>
  <c r="L18" i="3"/>
  <c r="L20" i="3" s="1"/>
  <c r="K18" i="3"/>
  <c r="K20" i="3" s="1"/>
  <c r="G49" i="2"/>
  <c r="G60" i="2"/>
  <c r="O20" i="2"/>
  <c r="H60" i="2"/>
  <c r="H49" i="2"/>
  <c r="I60" i="2"/>
  <c r="I49" i="2"/>
  <c r="K34" i="8" l="1"/>
  <c r="L34" i="8"/>
  <c r="L36" i="8" s="1"/>
  <c r="M36" i="3"/>
  <c r="N35" i="3" s="1"/>
  <c r="F52" i="3"/>
  <c r="F54" i="3" s="1"/>
  <c r="F68" i="3" s="1"/>
  <c r="H52" i="3"/>
  <c r="H54" i="3" s="1"/>
  <c r="H68" i="3" s="1"/>
  <c r="H96" i="3" s="1"/>
  <c r="G52" i="3"/>
  <c r="G54" i="3" s="1"/>
  <c r="G56" i="3" s="1"/>
  <c r="G51" i="3"/>
  <c r="G53" i="3" s="1"/>
  <c r="G55" i="3" s="1"/>
  <c r="I38" i="3"/>
  <c r="I39" i="3" s="1"/>
  <c r="I45" i="3" s="1"/>
  <c r="F51" i="3"/>
  <c r="F53" i="3" s="1"/>
  <c r="F55" i="3" s="1"/>
  <c r="H51" i="3"/>
  <c r="H53" i="3" s="1"/>
  <c r="H55" i="3" s="1"/>
  <c r="R35" i="2"/>
  <c r="Q36" i="2"/>
  <c r="I50" i="2"/>
  <c r="I51" i="2" s="1"/>
  <c r="G51" i="2"/>
  <c r="G50" i="2"/>
  <c r="H50" i="2"/>
  <c r="H51" i="2" s="1"/>
  <c r="K37" i="3"/>
  <c r="J38" i="3"/>
  <c r="J39" i="3" s="1"/>
  <c r="L37" i="2"/>
  <c r="K38" i="2"/>
  <c r="K39" i="2" s="1"/>
  <c r="I83" i="2"/>
  <c r="I85" i="2"/>
  <c r="I84" i="2"/>
  <c r="J44" i="2"/>
  <c r="J40" i="2"/>
  <c r="J41" i="2"/>
  <c r="J45" i="2" s="1"/>
  <c r="H85" i="2"/>
  <c r="H83" i="2"/>
  <c r="H84" i="2"/>
  <c r="G84" i="2"/>
  <c r="G83" i="2"/>
  <c r="G85" i="2"/>
  <c r="N36" i="3" l="1"/>
  <c r="O35" i="3" s="1"/>
  <c r="F98" i="3"/>
  <c r="F97" i="3"/>
  <c r="F96" i="3"/>
  <c r="H98" i="3"/>
  <c r="H97" i="3"/>
  <c r="H67" i="3"/>
  <c r="H92" i="3" s="1"/>
  <c r="F56" i="3"/>
  <c r="F67" i="3"/>
  <c r="F91" i="3" s="1"/>
  <c r="H56" i="3"/>
  <c r="G67" i="3"/>
  <c r="G93" i="3" s="1"/>
  <c r="G68" i="3"/>
  <c r="I40" i="3"/>
  <c r="I41" i="3" s="1"/>
  <c r="K38" i="3"/>
  <c r="K39" i="3" s="1"/>
  <c r="L37" i="3"/>
  <c r="L38" i="2"/>
  <c r="L39" i="2" s="1"/>
  <c r="M37" i="2"/>
  <c r="J49" i="2"/>
  <c r="J60" i="2"/>
  <c r="J45" i="3"/>
  <c r="J40" i="3"/>
  <c r="J41" i="3" s="1"/>
  <c r="J42" i="3" s="1"/>
  <c r="K44" i="2"/>
  <c r="K40" i="2"/>
  <c r="K41" i="2" s="1"/>
  <c r="K45" i="2" s="1"/>
  <c r="S35" i="2"/>
  <c r="R36" i="2"/>
  <c r="I42" i="3" l="1"/>
  <c r="I47" i="3" s="1"/>
  <c r="I52" i="3" s="1"/>
  <c r="I54" i="3" s="1"/>
  <c r="I68" i="3" s="1"/>
  <c r="O36" i="3"/>
  <c r="P35" i="3" s="1"/>
  <c r="G98" i="3"/>
  <c r="G97" i="3"/>
  <c r="G96" i="3"/>
  <c r="H93" i="3"/>
  <c r="H91" i="3"/>
  <c r="F93" i="3"/>
  <c r="F92" i="3"/>
  <c r="G92" i="3"/>
  <c r="G91" i="3"/>
  <c r="I46" i="3"/>
  <c r="I51" i="3" s="1"/>
  <c r="I53" i="3" s="1"/>
  <c r="I55" i="3" s="1"/>
  <c r="J47" i="3"/>
  <c r="J46" i="3"/>
  <c r="K60" i="2"/>
  <c r="K49" i="2"/>
  <c r="M38" i="2"/>
  <c r="M39" i="2" s="1"/>
  <c r="N37" i="2"/>
  <c r="L38" i="3"/>
  <c r="L39" i="3" s="1"/>
  <c r="M37" i="3"/>
  <c r="S36" i="2"/>
  <c r="J84" i="2"/>
  <c r="J83" i="2"/>
  <c r="J85" i="2"/>
  <c r="L41" i="2"/>
  <c r="L45" i="2" s="1"/>
  <c r="L40" i="2"/>
  <c r="L44" i="2"/>
  <c r="K40" i="3"/>
  <c r="K41" i="3" s="1"/>
  <c r="K42" i="3" s="1"/>
  <c r="K45" i="3"/>
  <c r="J50" i="2"/>
  <c r="J51" i="2" s="1"/>
  <c r="P36" i="3" l="1"/>
  <c r="Q35" i="3" s="1"/>
  <c r="I97" i="3"/>
  <c r="I98" i="3"/>
  <c r="I96" i="3"/>
  <c r="I56" i="3"/>
  <c r="J52" i="3"/>
  <c r="J54" i="3" s="1"/>
  <c r="J56" i="3" s="1"/>
  <c r="J51" i="3"/>
  <c r="J53" i="3" s="1"/>
  <c r="J55" i="3" s="1"/>
  <c r="I67" i="3"/>
  <c r="K47" i="3"/>
  <c r="K46" i="3"/>
  <c r="M44" i="2"/>
  <c r="M40" i="2"/>
  <c r="M41" i="2"/>
  <c r="M45" i="2" s="1"/>
  <c r="K51" i="2"/>
  <c r="K50" i="2"/>
  <c r="L45" i="3"/>
  <c r="L40" i="3"/>
  <c r="L41" i="3" s="1"/>
  <c r="L42" i="3" s="1"/>
  <c r="L60" i="2"/>
  <c r="L49" i="2"/>
  <c r="T35" i="2"/>
  <c r="O37" i="2"/>
  <c r="N38" i="2"/>
  <c r="N39" i="2" s="1"/>
  <c r="M38" i="3"/>
  <c r="M39" i="3" s="1"/>
  <c r="N37" i="3"/>
  <c r="K85" i="2"/>
  <c r="K84" i="2"/>
  <c r="K83" i="2"/>
  <c r="Q36" i="3" l="1"/>
  <c r="R35" i="3" s="1"/>
  <c r="K51" i="3"/>
  <c r="K53" i="3" s="1"/>
  <c r="K55" i="3" s="1"/>
  <c r="I93" i="3"/>
  <c r="I91" i="3"/>
  <c r="I92" i="3"/>
  <c r="J68" i="3"/>
  <c r="K52" i="3"/>
  <c r="K54" i="3" s="1"/>
  <c r="J67" i="3"/>
  <c r="J91" i="3" s="1"/>
  <c r="L47" i="3"/>
  <c r="L46" i="3"/>
  <c r="O37" i="3"/>
  <c r="N38" i="3"/>
  <c r="N39" i="3" s="1"/>
  <c r="M45" i="3"/>
  <c r="M40" i="3"/>
  <c r="M41" i="3" s="1"/>
  <c r="M42" i="3" s="1"/>
  <c r="L50" i="2"/>
  <c r="L51" i="2"/>
  <c r="N44" i="2"/>
  <c r="N40" i="2"/>
  <c r="N41" i="2"/>
  <c r="L85" i="2"/>
  <c r="L83" i="2"/>
  <c r="L84" i="2"/>
  <c r="P37" i="2"/>
  <c r="O38" i="2"/>
  <c r="O39" i="2" s="1"/>
  <c r="T36" i="2"/>
  <c r="M49" i="2"/>
  <c r="M60" i="2"/>
  <c r="R36" i="3" l="1"/>
  <c r="S35" i="3" s="1"/>
  <c r="J97" i="3"/>
  <c r="J98" i="3"/>
  <c r="J96" i="3"/>
  <c r="J93" i="3"/>
  <c r="M47" i="3"/>
  <c r="M52" i="3" s="1"/>
  <c r="M54" i="3" s="1"/>
  <c r="M68" i="3" s="1"/>
  <c r="J92" i="3"/>
  <c r="K56" i="3"/>
  <c r="K68" i="3"/>
  <c r="K67" i="3"/>
  <c r="K92" i="3" s="1"/>
  <c r="L52" i="3"/>
  <c r="L54" i="3" s="1"/>
  <c r="L68" i="3" s="1"/>
  <c r="L51" i="3"/>
  <c r="L53" i="3" s="1"/>
  <c r="L55" i="3" s="1"/>
  <c r="P38" i="2"/>
  <c r="P39" i="2" s="1"/>
  <c r="Q37" i="2"/>
  <c r="M84" i="2"/>
  <c r="M83" i="2"/>
  <c r="M85" i="2"/>
  <c r="M51" i="2"/>
  <c r="M50" i="2"/>
  <c r="N45" i="2"/>
  <c r="M46" i="3"/>
  <c r="N45" i="3"/>
  <c r="N40" i="3"/>
  <c r="N41" i="3" s="1"/>
  <c r="N42" i="3" s="1"/>
  <c r="U35" i="2"/>
  <c r="O41" i="2"/>
  <c r="O45" i="2" s="1"/>
  <c r="O44" i="2"/>
  <c r="O40" i="2"/>
  <c r="O38" i="3"/>
  <c r="O39" i="3" s="1"/>
  <c r="P37" i="3"/>
  <c r="S36" i="3" l="1"/>
  <c r="T35" i="3" s="1"/>
  <c r="L98" i="3"/>
  <c r="L97" i="3"/>
  <c r="L96" i="3"/>
  <c r="M98" i="3"/>
  <c r="M97" i="3"/>
  <c r="M96" i="3"/>
  <c r="K97" i="3"/>
  <c r="K98" i="3"/>
  <c r="K96" i="3"/>
  <c r="L56" i="3"/>
  <c r="N47" i="3"/>
  <c r="N52" i="3" s="1"/>
  <c r="N54" i="3" s="1"/>
  <c r="N56" i="3" s="1"/>
  <c r="K91" i="3"/>
  <c r="K93" i="3"/>
  <c r="M56" i="3"/>
  <c r="L67" i="3"/>
  <c r="N46" i="3"/>
  <c r="O60" i="2"/>
  <c r="O49" i="2"/>
  <c r="N49" i="2"/>
  <c r="N60" i="2"/>
  <c r="Q38" i="2"/>
  <c r="Q39" i="2" s="1"/>
  <c r="R37" i="2"/>
  <c r="M51" i="3"/>
  <c r="V35" i="2"/>
  <c r="U36" i="2"/>
  <c r="P38" i="3"/>
  <c r="P39" i="3" s="1"/>
  <c r="Q37" i="3"/>
  <c r="P40" i="2"/>
  <c r="P41" i="2" s="1"/>
  <c r="P45" i="2" s="1"/>
  <c r="P44" i="2"/>
  <c r="O45" i="3"/>
  <c r="O40" i="3"/>
  <c r="O41" i="3" s="1"/>
  <c r="O42" i="3" s="1"/>
  <c r="T36" i="3" l="1"/>
  <c r="U35" i="3" s="1"/>
  <c r="N68" i="3"/>
  <c r="O47" i="3"/>
  <c r="L91" i="3"/>
  <c r="L92" i="3"/>
  <c r="L93" i="3"/>
  <c r="N51" i="3"/>
  <c r="N53" i="3" s="1"/>
  <c r="N55" i="3" s="1"/>
  <c r="O46" i="3"/>
  <c r="P60" i="2"/>
  <c r="P49" i="2"/>
  <c r="N84" i="2"/>
  <c r="N83" i="2"/>
  <c r="N85" i="2"/>
  <c r="V36" i="2"/>
  <c r="P40" i="3"/>
  <c r="P41" i="3" s="1"/>
  <c r="P42" i="3" s="1"/>
  <c r="P45" i="3"/>
  <c r="S37" i="2"/>
  <c r="R38" i="2"/>
  <c r="R39" i="2" s="1"/>
  <c r="N51" i="2"/>
  <c r="N50" i="2"/>
  <c r="O50" i="2"/>
  <c r="O51" i="2"/>
  <c r="Q44" i="2"/>
  <c r="Q40" i="2"/>
  <c r="Q41" i="2"/>
  <c r="Q45" i="2" s="1"/>
  <c r="Q38" i="3"/>
  <c r="Q39" i="3" s="1"/>
  <c r="R37" i="3"/>
  <c r="M53" i="3"/>
  <c r="O83" i="2"/>
  <c r="O85" i="2"/>
  <c r="O84" i="2"/>
  <c r="U36" i="3" l="1"/>
  <c r="V35" i="3" s="1"/>
  <c r="N97" i="3"/>
  <c r="N98" i="3"/>
  <c r="N96" i="3"/>
  <c r="O52" i="3"/>
  <c r="O54" i="3" s="1"/>
  <c r="O56" i="3" s="1"/>
  <c r="M55" i="3"/>
  <c r="M67" i="3"/>
  <c r="N67" i="3"/>
  <c r="P47" i="3"/>
  <c r="O51" i="3"/>
  <c r="O53" i="3" s="1"/>
  <c r="O55" i="3" s="1"/>
  <c r="P46" i="3"/>
  <c r="S37" i="3"/>
  <c r="R38" i="3"/>
  <c r="R39" i="3" s="1"/>
  <c r="Q60" i="2"/>
  <c r="Q49" i="2"/>
  <c r="P50" i="2"/>
  <c r="P51" i="2" s="1"/>
  <c r="Q45" i="3"/>
  <c r="Q40" i="3"/>
  <c r="Q41" i="3" s="1"/>
  <c r="Q42" i="3" s="1"/>
  <c r="R44" i="2"/>
  <c r="R40" i="2"/>
  <c r="R41" i="2" s="1"/>
  <c r="R45" i="2" s="1"/>
  <c r="T37" i="2"/>
  <c r="S38" i="2"/>
  <c r="S39" i="2" s="1"/>
  <c r="W35" i="2"/>
  <c r="P85" i="2"/>
  <c r="P83" i="2"/>
  <c r="P84" i="2"/>
  <c r="V36" i="3" l="1"/>
  <c r="W35" i="3" s="1"/>
  <c r="P52" i="3"/>
  <c r="P54" i="3" s="1"/>
  <c r="P56" i="3" s="1"/>
  <c r="N91" i="3"/>
  <c r="N93" i="3"/>
  <c r="N92" i="3"/>
  <c r="O68" i="3"/>
  <c r="M93" i="3"/>
  <c r="M91" i="3"/>
  <c r="M92" i="3"/>
  <c r="O67" i="3"/>
  <c r="Q47" i="3"/>
  <c r="Q46" i="3"/>
  <c r="P51" i="3"/>
  <c r="P53" i="3" s="1"/>
  <c r="P55" i="3" s="1"/>
  <c r="R49" i="2"/>
  <c r="R60" i="2"/>
  <c r="S44" i="2"/>
  <c r="S40" i="2"/>
  <c r="S41" i="2" s="1"/>
  <c r="S45" i="2" s="1"/>
  <c r="R45" i="3"/>
  <c r="R40" i="3"/>
  <c r="R41" i="3" s="1"/>
  <c r="R42" i="3" s="1"/>
  <c r="S38" i="3"/>
  <c r="S39" i="3" s="1"/>
  <c r="T37" i="3"/>
  <c r="U37" i="2"/>
  <c r="T38" i="2"/>
  <c r="T39" i="2" s="1"/>
  <c r="Q51" i="2"/>
  <c r="Q50" i="2"/>
  <c r="W36" i="2"/>
  <c r="X35" i="2" s="1"/>
  <c r="X36" i="2" s="1"/>
  <c r="Q85" i="2"/>
  <c r="Q84" i="2"/>
  <c r="Q83" i="2"/>
  <c r="W36" i="3" l="1"/>
  <c r="O97" i="3"/>
  <c r="O98" i="3"/>
  <c r="O96" i="3"/>
  <c r="R47" i="3"/>
  <c r="R52" i="3" s="1"/>
  <c r="R54" i="3" s="1"/>
  <c r="R56" i="3" s="1"/>
  <c r="Q52" i="3"/>
  <c r="Q54" i="3" s="1"/>
  <c r="Q68" i="3" s="1"/>
  <c r="P67" i="3"/>
  <c r="P68" i="3"/>
  <c r="Q51" i="3"/>
  <c r="Q53" i="3" s="1"/>
  <c r="O93" i="3"/>
  <c r="O91" i="3"/>
  <c r="O92" i="3"/>
  <c r="R46" i="3"/>
  <c r="Y35" i="2"/>
  <c r="S60" i="2"/>
  <c r="S49" i="2"/>
  <c r="U38" i="2"/>
  <c r="U39" i="2" s="1"/>
  <c r="V37" i="2"/>
  <c r="T38" i="3"/>
  <c r="T39" i="3" s="1"/>
  <c r="U37" i="3"/>
  <c r="S40" i="3"/>
  <c r="S41" i="3" s="1"/>
  <c r="S42" i="3" s="1"/>
  <c r="S45" i="3"/>
  <c r="R84" i="2"/>
  <c r="R83" i="2"/>
  <c r="R85" i="2"/>
  <c r="T44" i="2"/>
  <c r="T40" i="2"/>
  <c r="T41" i="2"/>
  <c r="R50" i="2"/>
  <c r="R51" i="2" s="1"/>
  <c r="P98" i="3" l="1"/>
  <c r="P97" i="3"/>
  <c r="P96" i="3"/>
  <c r="Q98" i="3"/>
  <c r="Q97" i="3"/>
  <c r="Q96" i="3"/>
  <c r="Q55" i="3"/>
  <c r="Q67" i="3"/>
  <c r="Q93" i="3" s="1"/>
  <c r="R68" i="3"/>
  <c r="Q56" i="3"/>
  <c r="P93" i="3"/>
  <c r="P91" i="3"/>
  <c r="P92" i="3"/>
  <c r="S47" i="3"/>
  <c r="R51" i="3"/>
  <c r="R53" i="3" s="1"/>
  <c r="R55" i="3" s="1"/>
  <c r="S46" i="3"/>
  <c r="S51" i="2"/>
  <c r="S50" i="2"/>
  <c r="U38" i="3"/>
  <c r="U39" i="3" s="1"/>
  <c r="V37" i="3"/>
  <c r="S84" i="2"/>
  <c r="S83" i="2"/>
  <c r="S85" i="2"/>
  <c r="T45" i="3"/>
  <c r="T40" i="3"/>
  <c r="T41" i="3" s="1"/>
  <c r="T42" i="3" s="1"/>
  <c r="W37" i="2"/>
  <c r="V38" i="2"/>
  <c r="V39" i="2" s="1"/>
  <c r="T45" i="2"/>
  <c r="U44" i="2"/>
  <c r="U40" i="2"/>
  <c r="U41" i="2"/>
  <c r="U45" i="2" s="1"/>
  <c r="R97" i="3" l="1"/>
  <c r="R98" i="3"/>
  <c r="R96" i="3"/>
  <c r="Q91" i="3"/>
  <c r="Q92" i="3"/>
  <c r="R67" i="3"/>
  <c r="S51" i="3"/>
  <c r="S53" i="3" s="1"/>
  <c r="S55" i="3" s="1"/>
  <c r="S52" i="3"/>
  <c r="S54" i="3" s="1"/>
  <c r="T47" i="3"/>
  <c r="T46" i="3"/>
  <c r="V41" i="2"/>
  <c r="V45" i="2" s="1"/>
  <c r="V44" i="2"/>
  <c r="V40" i="2"/>
  <c r="W37" i="3"/>
  <c r="W38" i="3" s="1"/>
  <c r="W39" i="3" s="1"/>
  <c r="V38" i="3"/>
  <c r="V39" i="3" s="1"/>
  <c r="W38" i="2"/>
  <c r="W39" i="2" s="1"/>
  <c r="X37" i="2"/>
  <c r="X38" i="2" s="1"/>
  <c r="X39" i="2" s="1"/>
  <c r="U45" i="3"/>
  <c r="U40" i="3"/>
  <c r="U41" i="3" s="1"/>
  <c r="U42" i="3" s="1"/>
  <c r="U60" i="2"/>
  <c r="U49" i="2"/>
  <c r="T60" i="2"/>
  <c r="T49" i="2"/>
  <c r="U47" i="3" l="1"/>
  <c r="U52" i="3" s="1"/>
  <c r="U54" i="3" s="1"/>
  <c r="U56" i="3" s="1"/>
  <c r="S56" i="3"/>
  <c r="S68" i="3"/>
  <c r="T52" i="3"/>
  <c r="T54" i="3" s="1"/>
  <c r="T68" i="3" s="1"/>
  <c r="S67" i="3"/>
  <c r="S93" i="3" s="1"/>
  <c r="R92" i="3"/>
  <c r="R91" i="3"/>
  <c r="R93" i="3"/>
  <c r="T51" i="3"/>
  <c r="T53" i="3" s="1"/>
  <c r="T55" i="3" s="1"/>
  <c r="U46" i="3"/>
  <c r="W44" i="2"/>
  <c r="W40" i="2"/>
  <c r="W41" i="2" s="1"/>
  <c r="W45" i="2" s="1"/>
  <c r="T50" i="2"/>
  <c r="T51" i="2" s="1"/>
  <c r="V45" i="3"/>
  <c r="V40" i="3"/>
  <c r="V41" i="3" s="1"/>
  <c r="V42" i="3" s="1"/>
  <c r="V49" i="2"/>
  <c r="V60" i="2"/>
  <c r="T85" i="2"/>
  <c r="T83" i="2"/>
  <c r="T84" i="2"/>
  <c r="U50" i="2"/>
  <c r="U51" i="2" s="1"/>
  <c r="W40" i="3"/>
  <c r="W41" i="3" s="1"/>
  <c r="W42" i="3" s="1"/>
  <c r="W45" i="3"/>
  <c r="U83" i="2"/>
  <c r="U85" i="2"/>
  <c r="U84" i="2"/>
  <c r="X41" i="2"/>
  <c r="X45" i="2" s="1"/>
  <c r="X44" i="2"/>
  <c r="X40" i="2"/>
  <c r="T98" i="3" l="1"/>
  <c r="T97" i="3"/>
  <c r="T96" i="3"/>
  <c r="S98" i="3"/>
  <c r="S97" i="3"/>
  <c r="S96" i="3"/>
  <c r="S91" i="3"/>
  <c r="U68" i="3"/>
  <c r="S92" i="3"/>
  <c r="T67" i="3"/>
  <c r="T56" i="3"/>
  <c r="V47" i="3"/>
  <c r="W47" i="3"/>
  <c r="U51" i="3"/>
  <c r="U53" i="3" s="1"/>
  <c r="U55" i="3" s="1"/>
  <c r="V46" i="3"/>
  <c r="W46" i="3"/>
  <c r="W49" i="2"/>
  <c r="W60" i="2"/>
  <c r="V84" i="2"/>
  <c r="V85" i="2"/>
  <c r="V83" i="2"/>
  <c r="V51" i="2"/>
  <c r="V50" i="2"/>
  <c r="X60" i="2"/>
  <c r="X49" i="2"/>
  <c r="U97" i="3" l="1"/>
  <c r="U98" i="3"/>
  <c r="U96" i="3"/>
  <c r="T92" i="3"/>
  <c r="T91" i="3"/>
  <c r="T93" i="3"/>
  <c r="W52" i="3"/>
  <c r="W54" i="3" s="1"/>
  <c r="W51" i="3"/>
  <c r="W53" i="3" s="1"/>
  <c r="W55" i="3" s="1"/>
  <c r="V52" i="3"/>
  <c r="V54" i="3" s="1"/>
  <c r="V56" i="3" s="1"/>
  <c r="V51" i="3"/>
  <c r="V53" i="3" s="1"/>
  <c r="V55" i="3" s="1"/>
  <c r="U67" i="3"/>
  <c r="X50" i="2"/>
  <c r="X51" i="2"/>
  <c r="X85" i="2"/>
  <c r="X83" i="2"/>
  <c r="X84" i="2"/>
  <c r="W84" i="2"/>
  <c r="W83" i="2"/>
  <c r="W85" i="2"/>
  <c r="W50" i="2"/>
  <c r="W51" i="2" s="1"/>
  <c r="W56" i="3" l="1"/>
  <c r="F59" i="3" s="1" a="1"/>
  <c r="F59" i="3" s="1"/>
  <c r="G61" i="3" s="1"/>
  <c r="W68" i="3"/>
  <c r="W67" i="3"/>
  <c r="W92" i="3" s="1"/>
  <c r="V68" i="3"/>
  <c r="V67" i="3"/>
  <c r="V91" i="3" s="1"/>
  <c r="U93" i="3"/>
  <c r="U91" i="3"/>
  <c r="U92" i="3"/>
  <c r="F58" i="3" a="1"/>
  <c r="F58" i="3" s="1"/>
  <c r="F61" i="3" s="1"/>
  <c r="G93" i="2"/>
  <c r="G92" i="2"/>
  <c r="G91" i="2"/>
  <c r="V97" i="3" l="1"/>
  <c r="V98" i="3"/>
  <c r="V96" i="3"/>
  <c r="W97" i="3"/>
  <c r="W98" i="3"/>
  <c r="W96" i="3"/>
  <c r="W91" i="3"/>
  <c r="F105" i="3" s="1"/>
  <c r="F7" i="8" s="1"/>
  <c r="W93" i="3"/>
  <c r="V92" i="3"/>
  <c r="F106" i="3" s="1"/>
  <c r="F8" i="8" s="1"/>
  <c r="V93" i="3"/>
  <c r="G97" i="2"/>
  <c r="H97" i="2" s="1"/>
  <c r="H91" i="2"/>
  <c r="G98" i="2"/>
  <c r="H98" i="2" s="1"/>
  <c r="H92" i="2"/>
  <c r="G99" i="2"/>
  <c r="H99" i="2" s="1"/>
  <c r="H93" i="2"/>
  <c r="F110" i="3" l="1"/>
  <c r="F12" i="8" s="1"/>
  <c r="F111" i="3"/>
  <c r="F112" i="3"/>
  <c r="F107" i="3"/>
  <c r="G106" i="3"/>
  <c r="H8" i="8" s="1"/>
  <c r="G105" i="3"/>
  <c r="H7" i="8" s="1"/>
  <c r="G107" i="3" l="1"/>
  <c r="H9" i="8" s="1"/>
  <c r="F9" i="8"/>
  <c r="G112" i="3"/>
  <c r="H14" i="8" s="1"/>
  <c r="F14" i="8"/>
  <c r="G111" i="3"/>
  <c r="H13" i="8" s="1"/>
  <c r="F13" i="8"/>
  <c r="G110" i="3"/>
  <c r="H12"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<sst xmlns="http://schemas.openxmlformats.org/spreadsheetml/2006/main" count="445" uniqueCount="249">
  <si>
    <t xml:space="preserve">Price </t>
  </si>
  <si>
    <t xml:space="preserve">Shares </t>
  </si>
  <si>
    <t xml:space="preserve">MC </t>
  </si>
  <si>
    <t>Cash &amp; ST</t>
  </si>
  <si>
    <t xml:space="preserve">Debt </t>
  </si>
  <si>
    <t xml:space="preserve">EV </t>
  </si>
  <si>
    <t xml:space="preserve">model estimates… </t>
  </si>
  <si>
    <t>Peak Sales</t>
  </si>
  <si>
    <t xml:space="preserve">3Y Fwd Sales </t>
  </si>
  <si>
    <t>Cumulative 10Y</t>
  </si>
  <si>
    <t>EV/ c. 10y</t>
  </si>
  <si>
    <t xml:space="preserve">Catalyst </t>
  </si>
  <si>
    <t>Developer</t>
  </si>
  <si>
    <t xml:space="preserve">Owner </t>
  </si>
  <si>
    <t xml:space="preserve">Therapy </t>
  </si>
  <si>
    <t>Market</t>
  </si>
  <si>
    <t xml:space="preserve">Patients </t>
  </si>
  <si>
    <t xml:space="preserve">Peak Sales </t>
  </si>
  <si>
    <t xml:space="preserve">MC/EV </t>
  </si>
  <si>
    <t xml:space="preserve">Notes </t>
  </si>
  <si>
    <t xml:space="preserve">acq. </t>
  </si>
  <si>
    <t>AveXis</t>
  </si>
  <si>
    <t>Novartis</t>
  </si>
  <si>
    <t>Zolgensma</t>
  </si>
  <si>
    <t>spinal muscular atrophy</t>
  </si>
  <si>
    <t>acq.</t>
  </si>
  <si>
    <t>BioVex</t>
  </si>
  <si>
    <t>Amgen</t>
  </si>
  <si>
    <t>Imlygic</t>
  </si>
  <si>
    <t xml:space="preserve">melanoma </t>
  </si>
  <si>
    <t xml:space="preserve">(Bad comparison, ignore ) This was acquired in 2011 for up to $1B (including milestones, which were achieved) with peak sales potential of $200. Approval in 2015. Did not reach peak sales (realised 100-150M) </t>
  </si>
  <si>
    <t xml:space="preserve">&gt; </t>
  </si>
  <si>
    <t xml:space="preserve">Krystal </t>
  </si>
  <si>
    <t>Vyjuvek</t>
  </si>
  <si>
    <t>DEB</t>
  </si>
  <si>
    <t>Spark Tx</t>
  </si>
  <si>
    <t>Spark Tx (Roche)</t>
  </si>
  <si>
    <t xml:space="preserve">Luxturna </t>
  </si>
  <si>
    <t xml:space="preserve">Leber congenital amaurosis </t>
  </si>
  <si>
    <t xml:space="preserve">Bought for $4.3B in 2019. Had estimated peak sales of $350-750, lifetime opportunity of $1-3B. Never realised this, was a miserable failure </t>
  </si>
  <si>
    <t>&gt;</t>
  </si>
  <si>
    <t>UCL</t>
  </si>
  <si>
    <t>Autolus</t>
  </si>
  <si>
    <t>Aucatzyl</t>
  </si>
  <si>
    <t xml:space="preserve">ALL </t>
  </si>
  <si>
    <t xml:space="preserve">Note: I met the CEO at UBS. 6100 ALL diagnoses. 50% adults --&gt; 3000.  75% B-cell precursor --&gt; 2250. r/r 50% --&gt; 1100 patients per year. --&gt; $500M in peak sales. WB estimates $300 (public) </t>
  </si>
  <si>
    <t>SRPT</t>
  </si>
  <si>
    <t xml:space="preserve">SRPT </t>
  </si>
  <si>
    <t xml:space="preserve">Elevidys </t>
  </si>
  <si>
    <t>DMD</t>
  </si>
  <si>
    <t xml:space="preserve">Even after all the problems and associated risks, we are trading at more than 2x the Abeona multple. Also, we have been very generous with SRPT revenue forecast </t>
  </si>
  <si>
    <t>acq</t>
  </si>
  <si>
    <t>BMS &amp; 2seventy</t>
  </si>
  <si>
    <t>BMS</t>
  </si>
  <si>
    <t xml:space="preserve">Abecma </t>
  </si>
  <si>
    <t>Multiple myeloma</t>
  </si>
  <si>
    <t xml:space="preserve">(CAR-T) Peak sales estimate of $224M (2029) is from financial advisor (GS) during acquisition for valuation for $4.75 per share, 57.1M shares, Cash &amp; ST of $184 at the time of acq. </t>
  </si>
  <si>
    <t>Abeona</t>
  </si>
  <si>
    <t>Zevaskyn</t>
  </si>
  <si>
    <t>RDEB</t>
  </si>
  <si>
    <t>risk adjusted post approval '!A1</t>
  </si>
  <si>
    <t>x</t>
  </si>
  <si>
    <t>Ferring</t>
  </si>
  <si>
    <t xml:space="preserve">Adstiladrin </t>
  </si>
  <si>
    <t xml:space="preserve">bladder cancer </t>
  </si>
  <si>
    <t xml:space="preserve">uniQure </t>
  </si>
  <si>
    <t>uniQure</t>
  </si>
  <si>
    <t xml:space="preserve">Glybera </t>
  </si>
  <si>
    <t>LPD</t>
  </si>
  <si>
    <t xml:space="preserve">Kite Pharma </t>
  </si>
  <si>
    <t>Gilead</t>
  </si>
  <si>
    <t xml:space="preserve">Yescarta </t>
  </si>
  <si>
    <t xml:space="preserve">B cell lymphoma </t>
  </si>
  <si>
    <t xml:space="preserve">bluebird bio </t>
  </si>
  <si>
    <t>Zynteglo</t>
  </si>
  <si>
    <t xml:space="preserve">Beta thalassemia </t>
  </si>
  <si>
    <t xml:space="preserve">Tecartus </t>
  </si>
  <si>
    <t xml:space="preserve">Mantle cell lymphoma + ALL </t>
  </si>
  <si>
    <t xml:space="preserve">Human Stem cell institute </t>
  </si>
  <si>
    <t xml:space="preserve">Neovasculgen </t>
  </si>
  <si>
    <t>Peripheral artery disease</t>
  </si>
  <si>
    <t>JNJ</t>
  </si>
  <si>
    <t xml:space="preserve">JNJ </t>
  </si>
  <si>
    <t xml:space="preserve">Carvykti </t>
  </si>
  <si>
    <t>Skysona</t>
  </si>
  <si>
    <t xml:space="preserve">adrenoleukodystorphy </t>
  </si>
  <si>
    <t>CSL Behring</t>
  </si>
  <si>
    <t>Hemgenix</t>
  </si>
  <si>
    <t xml:space="preserve">hemophilia B </t>
  </si>
  <si>
    <t>Vertex &amp; CRISPR</t>
  </si>
  <si>
    <t xml:space="preserve">Casgevy </t>
  </si>
  <si>
    <t xml:space="preserve">sickle cell </t>
  </si>
  <si>
    <t>Lyfgenia</t>
  </si>
  <si>
    <t xml:space="preserve">Kymriah </t>
  </si>
  <si>
    <t xml:space="preserve">b cell lymphoblastic lymphoma </t>
  </si>
  <si>
    <t>BioMarin</t>
  </si>
  <si>
    <t xml:space="preserve">Roctavian </t>
  </si>
  <si>
    <t xml:space="preserve">hemo A </t>
  </si>
  <si>
    <t>Q3 2024</t>
  </si>
  <si>
    <t xml:space="preserve">Revenue </t>
  </si>
  <si>
    <t xml:space="preserve">Vyjuvek </t>
  </si>
  <si>
    <t>EV</t>
  </si>
  <si>
    <t xml:space="preserve">Research </t>
  </si>
  <si>
    <t xml:space="preserve">RDEB All </t>
  </si>
  <si>
    <t xml:space="preserve">Prevalence / mn </t>
  </si>
  <si>
    <t xml:space="preserve">Incidence /mn </t>
  </si>
  <si>
    <t xml:space="preserve">US pop mn </t>
  </si>
  <si>
    <t>Patient pop</t>
  </si>
  <si>
    <t>Eichstadt et al (2019)</t>
  </si>
  <si>
    <t xml:space="preserve">Unreliable genetic model </t>
  </si>
  <si>
    <t xml:space="preserve">Prop. Claims analysis (Abeona) </t>
  </si>
  <si>
    <t xml:space="preserve">NA </t>
  </si>
  <si>
    <t xml:space="preserve">Method unavailable </t>
  </si>
  <si>
    <t xml:space="preserve">Fine et al </t>
  </si>
  <si>
    <t xml:space="preserve">NEBR data, most commonly cited </t>
  </si>
  <si>
    <t xml:space="preserve">Baardman et al </t>
  </si>
  <si>
    <t xml:space="preserve">Dutch EB registry </t>
  </si>
  <si>
    <t xml:space="preserve">Kim et al </t>
  </si>
  <si>
    <t xml:space="preserve">Petrof et al </t>
  </si>
  <si>
    <t xml:space="preserve">NHS England and Wales </t>
  </si>
  <si>
    <t>Average</t>
  </si>
  <si>
    <t xml:space="preserve">RDEB patient "churn rate" </t>
  </si>
  <si>
    <t xml:space="preserve">Implied life expectancy </t>
  </si>
  <si>
    <t>Assuming 3.6 million live births</t>
  </si>
  <si>
    <t>(approval)</t>
  </si>
  <si>
    <t xml:space="preserve">Competition </t>
  </si>
  <si>
    <t xml:space="preserve">KRYS uptake </t>
  </si>
  <si>
    <t xml:space="preserve">Q2 2023 </t>
  </si>
  <si>
    <t xml:space="preserve">Q3 2023 </t>
  </si>
  <si>
    <t xml:space="preserve">Q4 2023 </t>
  </si>
  <si>
    <t xml:space="preserve">Q1 2024 </t>
  </si>
  <si>
    <t xml:space="preserve">Q2 2024 </t>
  </si>
  <si>
    <t xml:space="preserve">Q4 2024 </t>
  </si>
  <si>
    <t xml:space="preserve">Marketing auth holder </t>
  </si>
  <si>
    <t>KRYS</t>
  </si>
  <si>
    <t xml:space="preserve">M </t>
  </si>
  <si>
    <t xml:space="preserve">annualised sales (ASP) </t>
  </si>
  <si>
    <t xml:space="preserve">Cash </t>
  </si>
  <si>
    <t>bpc 11.09.25</t>
  </si>
  <si>
    <t xml:space="preserve">Patients treated </t>
  </si>
  <si>
    <t xml:space="preserve">Sales (retail) </t>
  </si>
  <si>
    <t xml:space="preserve">patient pop </t>
  </si>
  <si>
    <t xml:space="preserve">Pricing (list) - patient year </t>
  </si>
  <si>
    <t xml:space="preserve">Peak sales </t>
  </si>
  <si>
    <t xml:space="preserve">% of peak </t>
  </si>
  <si>
    <t xml:space="preserve">ASP/patient y </t>
  </si>
  <si>
    <t>$</t>
  </si>
  <si>
    <t xml:space="preserve">quick uptake </t>
  </si>
  <si>
    <t xml:space="preserve">Peak patients </t>
  </si>
  <si>
    <t xml:space="preserve">RDEB + DDEB </t>
  </si>
  <si>
    <t>???</t>
  </si>
  <si>
    <t>DEB prevalence (JD Fine)</t>
  </si>
  <si>
    <t xml:space="preserve">EV-Peak sales </t>
  </si>
  <si>
    <t xml:space="preserve">RDEB  </t>
  </si>
  <si>
    <t xml:space="preserve">Model </t>
  </si>
  <si>
    <t xml:space="preserve">check patent expiry date ... </t>
  </si>
  <si>
    <t xml:space="preserve">US population </t>
  </si>
  <si>
    <t xml:space="preserve">Prevalence </t>
  </si>
  <si>
    <t>[1]</t>
  </si>
  <si>
    <t xml:space="preserve">Patient population </t>
  </si>
  <si>
    <t xml:space="preserve">US Live births </t>
  </si>
  <si>
    <t xml:space="preserve">Incidence total </t>
  </si>
  <si>
    <t xml:space="preserve">BOP treatment opportunities </t>
  </si>
  <si>
    <t>[3]</t>
  </si>
  <si>
    <t xml:space="preserve">treatments administered </t>
  </si>
  <si>
    <t xml:space="preserve">Price per treatment </t>
  </si>
  <si>
    <t>[5]</t>
  </si>
  <si>
    <t xml:space="preserve">Price (ASP) </t>
  </si>
  <si>
    <t>COGS</t>
  </si>
  <si>
    <t>[6]</t>
  </si>
  <si>
    <t xml:space="preserve">Gross profit </t>
  </si>
  <si>
    <t>R&amp;D</t>
  </si>
  <si>
    <t xml:space="preserve">General &amp; Administrative </t>
  </si>
  <si>
    <t xml:space="preserve">EBIT </t>
  </si>
  <si>
    <t xml:space="preserve">Interest Income </t>
  </si>
  <si>
    <t xml:space="preserve">Interest Expense </t>
  </si>
  <si>
    <t xml:space="preserve">Effective borrow rate </t>
  </si>
  <si>
    <t>[7]</t>
  </si>
  <si>
    <t xml:space="preserve">EBT </t>
  </si>
  <si>
    <t xml:space="preserve">Tax </t>
  </si>
  <si>
    <t xml:space="preserve">Net profit </t>
  </si>
  <si>
    <t xml:space="preserve">Drug value </t>
  </si>
  <si>
    <t xml:space="preserve">Cash flow reconciliation </t>
  </si>
  <si>
    <t xml:space="preserve">Depreciation &amp; Amort </t>
  </si>
  <si>
    <t xml:space="preserve">Stock Based Comp </t>
  </si>
  <si>
    <t xml:space="preserve">Capex </t>
  </si>
  <si>
    <t xml:space="preserve">Unlevered free cash flow </t>
  </si>
  <si>
    <t xml:space="preserve">TSO </t>
  </si>
  <si>
    <t>WACC</t>
  </si>
  <si>
    <t xml:space="preserve">Equity </t>
  </si>
  <si>
    <t xml:space="preserve">Risk free rate </t>
  </si>
  <si>
    <t xml:space="preserve">Beta </t>
  </si>
  <si>
    <t xml:space="preserve">Equity Risk premium </t>
  </si>
  <si>
    <t xml:space="preserve">Cost of Equity </t>
  </si>
  <si>
    <t xml:space="preserve">Total Debt </t>
  </si>
  <si>
    <t xml:space="preserve">Current shares </t>
  </si>
  <si>
    <t xml:space="preserve">Debt Weight </t>
  </si>
  <si>
    <t>Interest rate</t>
  </si>
  <si>
    <t xml:space="preserve">Equity Weight </t>
  </si>
  <si>
    <t xml:space="preserve">Cost of debt </t>
  </si>
  <si>
    <t xml:space="preserve">Cost of equity </t>
  </si>
  <si>
    <t xml:space="preserve">WACC_2 </t>
  </si>
  <si>
    <t xml:space="preserve">WACC_3 </t>
  </si>
  <si>
    <t>DCF</t>
  </si>
  <si>
    <t>r= 10.98%</t>
  </si>
  <si>
    <t>r= 15%</t>
  </si>
  <si>
    <t xml:space="preserve">r= 20% </t>
  </si>
  <si>
    <t>Cash</t>
  </si>
  <si>
    <t xml:space="preserve">DCF Fair value </t>
  </si>
  <si>
    <t xml:space="preserve">per share </t>
  </si>
  <si>
    <t xml:space="preserve">Multiples </t>
  </si>
  <si>
    <t>DCF Value</t>
  </si>
  <si>
    <t xml:space="preserve">EV-Peak Sales </t>
  </si>
  <si>
    <t>r= 10.97%</t>
  </si>
  <si>
    <t xml:space="preserve">Implied probabiliity of approval </t>
  </si>
  <si>
    <t xml:space="preserve">Live net cash </t>
  </si>
  <si>
    <t xml:space="preserve">Shares out. </t>
  </si>
  <si>
    <t xml:space="preserve">Current price </t>
  </si>
  <si>
    <t xml:space="preserve">Implied probability </t>
  </si>
  <si>
    <t xml:space="preserve">KRYS valuation </t>
  </si>
  <si>
    <t xml:space="preserve">4y ramp </t>
  </si>
  <si>
    <t xml:space="preserve">sanity check </t>
  </si>
  <si>
    <t xml:space="preserve">EV-Sales </t>
  </si>
  <si>
    <t xml:space="preserve">rNPV </t>
  </si>
  <si>
    <t xml:space="preserve">(risk adjusted gross profit) </t>
  </si>
  <si>
    <t>(risk adjuted EBIT)</t>
  </si>
  <si>
    <t>(risk adjusted EBT)</t>
  </si>
  <si>
    <t xml:space="preserve">(tax for risk adjusted EBT) </t>
  </si>
  <si>
    <t>(Risk adjusted net profit)</t>
  </si>
  <si>
    <t xml:space="preserve">NPV </t>
  </si>
  <si>
    <t>FV</t>
  </si>
  <si>
    <t>rFCFF</t>
  </si>
  <si>
    <t>r= 7.61%</t>
  </si>
  <si>
    <t xml:space="preserve">risk adjusted </t>
  </si>
  <si>
    <t xml:space="preserve">live cash est. bpc </t>
  </si>
  <si>
    <t xml:space="preserve">current EV </t>
  </si>
  <si>
    <t xml:space="preserve">Equity Value </t>
  </si>
  <si>
    <t xml:space="preserve">Risk adjusted </t>
  </si>
  <si>
    <t xml:space="preserve">Equity value </t>
  </si>
  <si>
    <t xml:space="preserve">&lt; </t>
  </si>
  <si>
    <t xml:space="preserve">Peak Sales 
Multiple </t>
  </si>
  <si>
    <t xml:space="preserve">Opportunity Multiple </t>
  </si>
  <si>
    <t xml:space="preserve">Median </t>
  </si>
  <si>
    <t>FY 2025</t>
  </si>
  <si>
    <t>One of the cheapest gene therapies in history with solid value proposition</t>
  </si>
  <si>
    <t>risk adjusted net present value</t>
  </si>
  <si>
    <t>Opportunity $B</t>
  </si>
  <si>
    <t xml:space="preserve">EV @ 0.15x c.10y </t>
  </si>
  <si>
    <t xml:space="preserve">FV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</si>
</sst>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8" formatCode="[$$]#,##0"/>
    <numFmt numFmtId="169" formatCode="[$$]#,##0.0"/>
    <numFmt numFmtId="170" formatCode="[$$]#,##0.00"/>
    <numFmt numFmtId="171" formatCode="_([$$-409]* #,##0.00_);_([$$-409]* \(#,##0.00\);_([$$-409]* &quot;-&quot;??_);_(@_)"/>
    <numFmt numFmtId="172" formatCode="_-[$$-409]* #,##0.00_ ;_-[$$-409]* \-#,##0.00\ ;_-[$$-409]* &quot;-&quot;??_ ;_-@_ "/>
    <numFmt numFmtId="173" formatCode="0.00\x"/>
  </numFmts>
  <fonts count="18" x14ac:knownFonts="1">
    <font>
      <sz val="10"/>
      <color rgb="FF000000"/>
      <name val="Arial"/>
      <scheme val="minor"/>
    </font>
    <font>
      <sz val="10"/>
      <color theme="1"/>
      <name val="Arial"/>
      <family val="2"/>
      <scheme val="minor"/>
    </font>
    <font>
      <sz val="10"/>
      <color theme="1"/>
      <name val="Arial"/>
      <family val="2"/>
    </font>
    <font>
      <b/>
      <sz val="10"/>
      <color theme="1"/>
      <name val="Arial"/>
      <family val="2"/>
      <scheme val="minor"/>
    </font>
    <font>
      <u/>
      <sz val="10"/>
      <color rgb="FF0000FF"/>
      <name val="Arial"/>
      <family val="2"/>
    </font>
    <font>
      <b/>
      <u/>
      <sz val="10"/>
      <color theme="1"/>
      <name val="Arial"/>
      <family val="2"/>
      <scheme val="minor"/>
    </font>
    <font>
      <i/>
      <sz val="10"/>
      <color theme="1"/>
      <name val="Arial"/>
      <family val="2"/>
      <scheme val="minor"/>
    </font>
    <font>
      <i/>
      <sz val="10"/>
      <color theme="1"/>
      <name val="Arial"/>
      <family val="2"/>
    </font>
    <font>
      <sz val="10"/>
      <color rgb="FF000000"/>
      <name val="Arial"/>
      <family val="2"/>
      <scheme val="minor"/>
    </font>
    <font>
      <b/>
      <sz val="10"/>
      <color rgb="FF000000"/>
      <name val="Arial"/>
      <family val="2"/>
      <scheme val="minor"/>
    </font>
    <font>
      <i/>
      <sz val="10"/>
      <color rgb="FF000000"/>
      <name val="Arial"/>
      <family val="2"/>
      <scheme val="minor"/>
    </font>
    <font>
      <b/>
      <i/>
      <u/>
      <sz val="10"/>
      <color theme="1"/>
      <name val="Arial"/>
      <family val="2"/>
      <scheme val="minor"/>
    </font>
    <font>
      <u/>
      <sz val="10"/>
      <color theme="10"/>
      <name val="Arial"/>
      <family val="2"/>
      <scheme val="minor"/>
    </font>
    <font>
      <i/>
      <sz val="8"/>
      <color rgb="FF000000"/>
      <name val="Arial"/>
      <family val="2"/>
      <scheme val="minor"/>
    </font>
    <font>
      <sz val="10"/>
      <color rgb="FFFF0000"/>
      <name val="Arial"/>
      <family val="2"/>
      <scheme val="minor"/>
    </font>
    <font>
      <b/>
      <sz val="10"/>
      <color rgb="FF000000"/>
      <name val="Arial"/>
      <family val="2"/>
      <scheme val="minor"/>
    </font>
    <font>
      <sz val="10"/>
      <name val="Arial"/>
      <family val="2"/>
      <scheme val="minor"/>
    </font>
    <font>
      <b/>
      <sz val="22"/>
      <color rgb="FF000000"/>
      <name val="Arial"/>
      <family val="2"/>
      <scheme val="minor"/>
    </font>
  </fonts>
  <fills count="4">
    <fill>
      <patternFill patternType="none"/>
    </fill>
    <fill>
      <patternFill patternType="gray125"/>
    </fill>
    <fill>
      <patternFill patternType="solid">
        <fgColor rgb="FF9900FF"/>
        <bgColor rgb="FF9900FF"/>
      </patternFill>
    </fill>
    <fill>
      <patternFill patternType="solid">
        <fgColor rgb="FFFFFF00"/>
        <bgColor indexed="64"/>
      </patternFill>
    </fill>
  </fills>
  <borders count="8">
    <border>
      <left/>
      <right/>
      <top/>
      <bottom/>
      <diagonal/>
    </border>
    <border>
      <left/>
      <right/>
      <top/>
      <bottom style="thin">
        <color rgb="FF000000"/>
      </bottom>
      <diagonal/>
    </border>
    <border>
      <left/>
      <right/>
      <top style="thin">
        <color rgb="FF000000"/>
      </top>
      <bottom/>
      <diagonal/>
    </border>
    <border>
      <left/>
      <right style="dotted">
        <color rgb="FFB7B7B7"/>
      </right>
      <top/>
      <bottom style="thin">
        <color rgb="FF000000"/>
      </bottom>
      <diagonal/>
    </border>
    <border>
      <left/>
      <right style="dotted">
        <color rgb="FFB7B7B7"/>
      </right>
      <top/>
      <bottom/>
      <diagonal/>
    </border>
    <border>
      <left/>
      <right/>
      <top style="thin">
        <color rgb="FF000000"/>
      </top>
      <bottom style="thin">
        <color rgb="FF000000"/>
      </bottom>
      <diagonal/>
    </border>
    <border>
      <left/>
      <right/>
      <top/>
      <bottom style="thin">
        <color indexed="64"/>
      </bottom>
      <diagonal/>
    </border>
    <border>
      <left/>
      <right/>
      <top style="thin">
        <color indexed="64"/>
      </top>
      <bottom/>
      <diagonal/>
    </border>
  </borders>
  <cellStyleXfs count="2">
    <xf numFmtId="0" fontId="0" fillId="0" borderId="0"/>
    <xf numFmtId="0" fontId="12" fillId="0" borderId="0" applyNumberFormat="0" applyFill="0" applyBorder="0" applyAlignment="0" applyProtection="0"/>
  </cellStyleXfs>
  <cellXfs count="76">
    <xf numFmtId="0" fontId="0" fillId="0" borderId="0" xfId="0"/>
    <xf numFmtId="0" fontId="1" fillId="0" borderId="0" xfId="0" applyFont="1"/>
    <xf numFmtId="0" fontId="2" fillId="0" borderId="0" xfId="0" applyFont="1"/>
    <xf numFmtId="10" fontId="1" fillId="0" borderId="0" xfId="0" applyNumberFormat="1" applyFont="1"/>
    <xf numFmtId="2" fontId="1" fillId="0" borderId="0" xfId="0" applyNumberFormat="1" applyFont="1"/>
    <xf numFmtId="0" fontId="3" fillId="0" borderId="0" xfId="0" applyFont="1"/>
    <xf numFmtId="0" fontId="4" fillId="0" borderId="0" xfId="0" applyFont="1"/>
    <xf numFmtId="0" fontId="5" fillId="0" borderId="0" xfId="0" applyFont="1"/>
    <xf numFmtId="0" fontId="3" fillId="0" borderId="1" xfId="0" applyFont="1" applyBorder="1"/>
    <xf numFmtId="4" fontId="1" fillId="0" borderId="0" xfId="0" applyNumberFormat="1" applyFont="1"/>
    <xf numFmtId="0" fontId="1" fillId="0" borderId="0" xfId="0" applyFont="1" applyAlignment="1">
      <alignment horizontal="right"/>
    </xf>
    <xf numFmtId="0" fontId="3" fillId="0" borderId="2" xfId="0" applyFont="1" applyBorder="1"/>
    <xf numFmtId="10" fontId="3" fillId="0" borderId="0" xfId="0" applyNumberFormat="1" applyFont="1"/>
    <xf numFmtId="4" fontId="3" fillId="0" borderId="0" xfId="0" applyNumberFormat="1" applyFont="1"/>
    <xf numFmtId="0" fontId="6" fillId="0" borderId="0" xfId="0" applyFont="1"/>
    <xf numFmtId="0" fontId="1" fillId="0" borderId="1" xfId="0" applyFont="1" applyBorder="1"/>
    <xf numFmtId="0" fontId="6" fillId="0" borderId="0" xfId="0" applyFont="1" applyAlignment="1">
      <alignment horizontal="right"/>
    </xf>
    <xf numFmtId="4" fontId="6" fillId="0" borderId="0" xfId="0" applyNumberFormat="1" applyFont="1"/>
    <xf numFmtId="0" fontId="1" fillId="0" borderId="2" xfId="0" applyFont="1" applyBorder="1"/>
    <xf numFmtId="4" fontId="1" fillId="0" borderId="2" xfId="0" applyNumberFormat="1" applyFont="1" applyBorder="1"/>
    <xf numFmtId="0" fontId="3" fillId="0" borderId="3" xfId="0" applyFont="1" applyBorder="1"/>
    <xf numFmtId="0" fontId="1" fillId="0" borderId="4" xfId="0" applyFont="1" applyBorder="1"/>
    <xf numFmtId="168" fontId="1" fillId="0" borderId="0" xfId="0" applyNumberFormat="1" applyFont="1"/>
    <xf numFmtId="169" fontId="1" fillId="0" borderId="0" xfId="0" applyNumberFormat="1" applyFont="1"/>
    <xf numFmtId="4" fontId="1" fillId="0" borderId="5" xfId="0" applyNumberFormat="1" applyFont="1" applyBorder="1"/>
    <xf numFmtId="10" fontId="1" fillId="0" borderId="4" xfId="0" applyNumberFormat="1" applyFont="1" applyBorder="1"/>
    <xf numFmtId="10" fontId="6" fillId="0" borderId="0" xfId="0" applyNumberFormat="1" applyFont="1"/>
    <xf numFmtId="4" fontId="1" fillId="0" borderId="1" xfId="0" applyNumberFormat="1" applyFont="1" applyBorder="1"/>
    <xf numFmtId="10" fontId="1" fillId="0" borderId="1" xfId="0" applyNumberFormat="1" applyFont="1" applyBorder="1"/>
    <xf numFmtId="9" fontId="1" fillId="0" borderId="0" xfId="0" applyNumberFormat="1" applyFont="1"/>
    <xf numFmtId="170" fontId="1" fillId="0" borderId="0" xfId="0" applyNumberFormat="1" applyFont="1"/>
    <xf numFmtId="0" fontId="7" fillId="0" borderId="0" xfId="0" applyFont="1"/>
    <xf numFmtId="14" fontId="1" fillId="0" borderId="1" xfId="0" applyNumberFormat="1" applyFont="1" applyBorder="1"/>
    <xf numFmtId="14" fontId="3" fillId="0" borderId="1" xfId="0" applyNumberFormat="1" applyFont="1" applyBorder="1"/>
    <xf numFmtId="168" fontId="1" fillId="2" borderId="0" xfId="0" applyNumberFormat="1" applyFont="1" applyFill="1"/>
    <xf numFmtId="0" fontId="8" fillId="0" borderId="0" xfId="0" applyFont="1"/>
    <xf numFmtId="0" fontId="10" fillId="0" borderId="0" xfId="0" applyFont="1"/>
    <xf numFmtId="2" fontId="0" fillId="0" borderId="0" xfId="0" applyNumberFormat="1"/>
    <xf numFmtId="4" fontId="0" fillId="0" borderId="0" xfId="0" applyNumberFormat="1"/>
    <xf numFmtId="4" fontId="10" fillId="0" borderId="0" xfId="0" applyNumberFormat="1" applyFont="1"/>
    <xf numFmtId="0" fontId="11" fillId="0" borderId="3" xfId="0" applyFont="1" applyBorder="1"/>
    <xf numFmtId="0" fontId="5" fillId="0" borderId="3" xfId="0" applyFont="1" applyBorder="1"/>
    <xf numFmtId="4" fontId="6" fillId="0" borderId="2" xfId="0" applyNumberFormat="1" applyFont="1" applyBorder="1"/>
    <xf numFmtId="2" fontId="6" fillId="0" borderId="0" xfId="0" applyNumberFormat="1" applyFont="1"/>
    <xf numFmtId="4" fontId="6" fillId="0" borderId="5" xfId="0" applyNumberFormat="1" applyFont="1" applyBorder="1"/>
    <xf numFmtId="0" fontId="6" fillId="0" borderId="4" xfId="0" applyFont="1" applyBorder="1"/>
    <xf numFmtId="9" fontId="3" fillId="0" borderId="0" xfId="0" applyNumberFormat="1" applyFont="1"/>
    <xf numFmtId="171" fontId="0" fillId="0" borderId="0" xfId="0" applyNumberFormat="1"/>
    <xf numFmtId="172" fontId="0" fillId="0" borderId="0" xfId="0" applyNumberFormat="1"/>
    <xf numFmtId="0" fontId="13" fillId="0" borderId="0" xfId="0" applyFont="1"/>
    <xf numFmtId="173" fontId="0" fillId="0" borderId="0" xfId="0" applyNumberFormat="1"/>
    <xf numFmtId="0" fontId="12" fillId="0" borderId="0" xfId="1"/>
    <xf numFmtId="1" fontId="0" fillId="0" borderId="0" xfId="0" applyNumberFormat="1"/>
    <xf numFmtId="2" fontId="9" fillId="0" borderId="0" xfId="0" applyNumberFormat="1" applyFont="1"/>
    <xf numFmtId="173" fontId="9" fillId="0" borderId="0" xfId="0" applyNumberFormat="1" applyFont="1"/>
    <xf numFmtId="0" fontId="12" fillId="0" borderId="0" xfId="1" quotePrefix="1"/>
    <xf numFmtId="0" fontId="8" fillId="3" borderId="0" xfId="0" applyFont="1" applyFill="1"/>
    <xf numFmtId="0" fontId="0" fillId="3" borderId="0" xfId="0" applyFill="1"/>
    <xf numFmtId="0" fontId="9" fillId="0" borderId="6" xfId="0" applyFont="1" applyBorder="1"/>
    <xf numFmtId="9" fontId="0" fillId="0" borderId="0" xfId="0" applyNumberFormat="1"/>
    <xf numFmtId="0" fontId="12" fillId="0" borderId="0" xfId="1" applyFill="1"/>
    <xf numFmtId="173" fontId="0" fillId="3" borderId="0" xfId="0" applyNumberFormat="1" applyFill="1"/>
    <xf numFmtId="0" fontId="9" fillId="0" borderId="5" xfId="0" applyFont="1" applyBorder="1"/>
    <xf numFmtId="172" fontId="9" fillId="0" borderId="5" xfId="0" applyNumberFormat="1" applyFont="1" applyBorder="1"/>
    <xf numFmtId="0" fontId="15" fillId="0" borderId="0" xfId="0" applyFont="1"/>
    <xf numFmtId="0" fontId="9" fillId="0" borderId="6" xfId="0" applyFont="1" applyBorder="1" applyAlignment="1">
      <alignment wrapText="1"/>
    </xf>
    <xf numFmtId="173" fontId="0" fillId="0" borderId="7" xfId="0" applyNumberFormat="1" applyBorder="1"/>
    <xf numFmtId="173" fontId="14" fillId="0" borderId="0" xfId="0" applyNumberFormat="1" applyFont="1" applyAlignment="1">
      <alignment horizontal="center"/>
    </xf>
    <xf numFmtId="173" fontId="16" fillId="0" borderId="0" xfId="0" applyNumberFormat="1" applyFont="1"/>
    <xf numFmtId="16" fontId="9" fillId="0" borderId="0" xfId="0" applyNumberFormat="1" applyFont="1" applyAlignment="1">
      <alignment horizontal="right"/>
    </xf>
    <xf numFmtId="0" fontId="17" fillId="0" borderId="0" xfId="0" applyFont="1"/>
    <xf numFmtId="0" fontId="9" fillId="3" borderId="0" xfId="0" applyFont="1" applyFill="1"/>
    <xf numFmtId="1" fontId="9" fillId="3" borderId="0" xfId="0" applyNumberFormat="1" applyFont="1" applyFill="1"/>
    <xf numFmtId="2" fontId="0" fillId="3" borderId="0" xfId="0" applyNumberFormat="1" applyFill="1"/>
    <xf numFmtId="2" fontId="9" fillId="3" borderId="0" xfId="0" applyNumberFormat="1" applyFont="1" applyFill="1"/>
    <xf numFmtId="173" fontId="9" fillId="3"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5" Type="http://schemas.openxmlformats.org/officeDocument/2006/relationships/calcChain" Target="calcChain.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https://www.bing.com/financeapi/forcetrigger?t=a1mqbh&amp;q=XNAS%3aABEO&amp;form=skydnc</v>
    <v>Learn more on Bing</v>
  </rv>
  <rv s="1">
    <v>en-GB</v>
    <v>a1mqbh</v>
    <v>268435456</v>
    <v>1</v>
    <v>Powered by Refinitiv</v>
    <v>0</v>
    <v>ABEONA THERAPEUTICS INC. (XNAS:ABEO)</v>
    <v>2</v>
    <v>3</v>
    <v>Finance</v>
    <v>4</v>
    <v>7.5400999999999998</v>
    <v>3.9327999999999999</v>
    <v>1.1682999999999999</v>
    <v>-0.12</v>
    <v>-2.3120999999999999E-2</v>
    <v>USD</v>
    <v>Abeona Therapeutics Inc. is a commercial-stage biopharmaceutical company developing cell and gene therapies for serious diseases. The Company's ZEVASKYN (prademagene zamikeracel) is an autologous cell-based gene therapy for the treatment of wounds in adults and pediatric patients with recessive dystrophic epidermolysis bullosa. Its fully integrated cell and gene therapy cGMP manufacturing facility in Cleveland, Ohio serves as the manufacturing site for ZEVASKYN commercial production. Its development portfolio features adeno-associated virus (AAV)-based gene therapies for ophthalmic diseases with high unmet medical need. Its AAV capsids are being evaluated to improve tropism profiles for a variety of devastating diseases. Its pipeline programs include ABO-504 (Stargardt disease), ABO-503 (X-linked retinoschisis), ABO-505 (autosomal dominant optic atrophy), UX111 (Sanfilippo Syndrome Type A (MPS IIIA)), TSHA-102 (Rett Syndrome), and TSHA-118 (Infantile Batten Disease (CLN1 Disease)).</v>
    <v>136</v>
    <v>Nasdaq Stock Market</v>
    <v>XNAS</v>
    <v>XNAS</v>
    <v>6555 CARNEGIE AVE, 4TH FLOOR, CLEVELAND, OH, 44103 US</v>
    <v>5.2</v>
    <v>Pharmaceuticals</v>
    <v>Stock</v>
    <v>46049.616509142972</v>
    <v>0</v>
    <v>5.0599999999999996</v>
    <v>274750195</v>
    <v>ABEONA THERAPEUTICS INC.</v>
    <v>ABEONA THERAPEUTICS INC.</v>
    <v>5.14</v>
    <v>4.5865999999999998</v>
    <v>5.19</v>
    <v>5.07</v>
    <v>54191360</v>
    <v>ABEO</v>
    <v>ABEONA THERAPEUTICS INC. (XNAS:ABEO)</v>
    <v>86569</v>
    <v>1160410</v>
    <v>1989</v>
  </rv>
  <rv s="2">
    <v>1</v>
  </rv>
  <rv s="0">
    <v>https://www.bing.com/financeapi/forcetrigger?t=a1wntc&amp;q=XNAS%3aKRYS&amp;form=skydnc</v>
    <v>Learn more on Bing</v>
  </rv>
  <rv s="1">
    <v>en-GB</v>
    <v>a1wntc</v>
    <v>268435456</v>
    <v>1</v>
    <v>Powered by Refinitiv</v>
    <v>0</v>
    <v>KRYSTAL BIOTECH, INC. (XNAS:KRYS)</v>
    <v>2</v>
    <v>3</v>
    <v>Finance</v>
    <v>4</v>
    <v>295.98</v>
    <v>122.8</v>
    <v>0.48770000000000002</v>
    <v>0.02</v>
    <v>7.1749999999999996E-5</v>
    <v>USD</v>
    <v>Krystal Biotech, Inc. is an integrated, commercial-stage biotechnology company. The Company is focused on the discovery, development, and commercialization of genetic medicines to treat diseases with high unmet medical needs. Its product candidates in various stages of clinical and preclinical development include KB407, KB408, KB707, KB105, KB801, KB803, KB304 and KB301. Its commercial product, VYJUVEK, is a redosable gene therapy, and a genetic medicine approved in the United States and Europe for the treatment of dystrophic epidermolysis bullosa. KB407 is being developed for the treatment of Cystic Fibrosis. KB408 is being developed for the treatment of Alpha-1 Antitrypsin Deficiency, a rare lung disease. KB707 is being developed for the treatment of solid tumors. KB105 is being developed for TGM1-Deficient Autosomal Recessive Congenital Ichthyosis. KB803 is a redosable eye drop formulation of B-VEC, designed for the treatment of ocular complications.</v>
    <v>275</v>
    <v>Nasdaq Stock Market</v>
    <v>XNAS</v>
    <v>XNAS</v>
    <v>2100 Wharton St Ste 701, PITTSBURGH, PA, 15203 US</v>
    <v>280.62</v>
    <v>Pharmaceuticals</v>
    <v>Stock</v>
    <v>46049.616585751559</v>
    <v>3</v>
    <v>278.75</v>
    <v>8083638650</v>
    <v>KRYSTAL BIOTECH, INC.</v>
    <v>KRYSTAL BIOTECH, INC.</v>
    <v>278.75</v>
    <v>41.8354</v>
    <v>278.75</v>
    <v>278.77</v>
    <v>28997520</v>
    <v>KRYS</v>
    <v>KRYSTAL BIOTECH, INC. (XNAS:KRYS)</v>
    <v>3973</v>
    <v>307061</v>
    <v>2017</v>
  </rv>
  <rv s="2">
    <v>4</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lsecloud-my.sharepoint.com/personal/f_kolchin_lse_ac_uk/Documents/DD/SRPT%2024.07%20.xlsb" TargetMode="External"/><Relationship Id="rId2" Type="http://schemas.openxmlformats.org/officeDocument/2006/relationships/hyperlink" Target="https://www.sciencedirect.com/science/article/pii/S1098301522019994" TargetMode="External"/><Relationship Id="rId1" Type="http://schemas.openxmlformats.org/officeDocument/2006/relationships/hyperlink" Target="https://www.sec.gov/Archives/edgar/data/1860782/000114036125017235/ny20048433x1_sc14d9a.htm" TargetMode="External"/><Relationship Id="rId4" Type="http://schemas.openxmlformats.org/officeDocument/2006/relationships/hyperlink" Target="javascript:void(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ubmed.ncbi.nlm.nih.gov/34927719/" TargetMode="External"/><Relationship Id="rId2" Type="http://schemas.openxmlformats.org/officeDocument/2006/relationships/hyperlink" Target="https://onlinelibrary.wiley.com/doi/10.1111/jdv.17012" TargetMode="External"/><Relationship Id="rId1" Type="http://schemas.openxmlformats.org/officeDocument/2006/relationships/hyperlink" Target="https://jamanetwork.com/journals/jamadermatology/fullarticle/2537024"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pubmed.ncbi.nlm.nih.gov/34927719/" TargetMode="External"/><Relationship Id="rId2" Type="http://schemas.openxmlformats.org/officeDocument/2006/relationships/hyperlink" Target="https://onlinelibrary.wiley.com/doi/10.1111/jdv.17012" TargetMode="External"/><Relationship Id="rId1" Type="http://schemas.openxmlformats.org/officeDocument/2006/relationships/hyperlink" Target="https://jamanetwork.com/journals/jamadermatology/fullarticle/2537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F1FC8-6EE7-41A2-8CA0-7D720C0B9EFB}">
  <dimension ref="A2:M47"/>
  <sheetViews>
    <sheetView showGridLines="0" tabSelected="1" workbookViewId="0">
      <selection activeCell="K14" sqref="K14"/>
    </sheetView>
  </sheetViews>
  <sheetFormatPr defaultColWidth="8.85546875" defaultRowHeight="12.75" x14ac:dyDescent="0.2"/>
  <cols>
    <col min="2" max="2" width="17" bestFit="1" customWidth="1"/>
    <col min="3" max="3" width="13.28515625" customWidth="1"/>
    <col min="4" max="4" width="14.140625" customWidth="1"/>
    <col min="5" max="5" width="28.140625" customWidth="1"/>
    <col min="6" max="7" width="10.85546875" customWidth="1"/>
    <col min="8" max="8" width="15.42578125" customWidth="1"/>
    <col min="9" max="9" width="13" customWidth="1"/>
    <col min="12" max="12" width="12.85546875" customWidth="1"/>
  </cols>
  <sheetData>
    <row r="2" spans="2:8" ht="27.75" x14ac:dyDescent="0.4">
      <c r="B2" s="70" t="e" vm="1">
        <v>#VALUE!</v>
      </c>
    </row>
    <row r="3" spans="2:8" x14ac:dyDescent="0.2">
      <c r="B3" s="36" t="s">
        <v>244</v>
      </c>
    </row>
    <row r="5" spans="2:8" x14ac:dyDescent="0.2">
      <c r="B5" s="35" t="s">
        <v>0</v>
      </c>
      <c r="C5" s="47" cm="1">
        <f t="array" aca="1" ref="C5" ca="1">_FV(B2,"Price")</f>
        <v>5.07</v>
      </c>
      <c r="E5" s="49" t="s">
        <v>245</v>
      </c>
    </row>
    <row r="6" spans="2:8" x14ac:dyDescent="0.2">
      <c r="B6" s="35" t="s">
        <v>1</v>
      </c>
      <c r="C6" s="38">
        <v>52.4</v>
      </c>
      <c r="E6" s="41"/>
      <c r="F6" s="15" t="str">
        <f>'risk adjusted post approval '!F104</f>
        <v xml:space="preserve">Equity Value </v>
      </c>
      <c r="G6" s="15"/>
      <c r="H6" s="15" t="str">
        <f>'risk adjusted post approval '!G104</f>
        <v xml:space="preserve">per share </v>
      </c>
    </row>
    <row r="7" spans="2:8" x14ac:dyDescent="0.2">
      <c r="B7" s="35" t="s">
        <v>2</v>
      </c>
      <c r="C7" s="48">
        <f ca="1">C5*C6</f>
        <v>265.66800000000001</v>
      </c>
      <c r="E7" s="21" t="str">
        <f>'risk adjusted post approval '!E105</f>
        <v>r= 7.61%</v>
      </c>
      <c r="F7" s="30">
        <f ca="1">'risk adjusted post approval '!F105</f>
        <v>840.02572476239561</v>
      </c>
      <c r="G7" s="30"/>
      <c r="H7" s="30">
        <f ca="1">'risk adjusted post approval '!G105</f>
        <v>17.320118036338055</v>
      </c>
    </row>
    <row r="8" spans="2:8" x14ac:dyDescent="0.2">
      <c r="B8" s="35" t="s">
        <v>3</v>
      </c>
      <c r="C8">
        <v>207.1</v>
      </c>
      <c r="E8" s="21" t="str">
        <f>'risk adjusted post approval '!E106</f>
        <v>r= 15%</v>
      </c>
      <c r="F8" s="30">
        <f>'risk adjusted post approval '!F106</f>
        <v>640.30378170987217</v>
      </c>
      <c r="G8" s="30"/>
      <c r="H8" s="30">
        <f>'risk adjusted post approval '!G106</f>
        <v>13.202139829069528</v>
      </c>
    </row>
    <row r="9" spans="2:8" x14ac:dyDescent="0.2">
      <c r="B9" s="35" t="s">
        <v>4</v>
      </c>
      <c r="C9">
        <v>24.1</v>
      </c>
      <c r="E9" s="21" t="str">
        <f>'risk adjusted post approval '!E107</f>
        <v xml:space="preserve">r= 20% </v>
      </c>
      <c r="F9" s="30">
        <f>'risk adjusted post approval '!F107</f>
        <v>552.00831219007694</v>
      </c>
      <c r="G9" s="30"/>
      <c r="H9" s="30">
        <f>'risk adjusted post approval '!G107</f>
        <v>11.381614684331483</v>
      </c>
    </row>
    <row r="10" spans="2:8" x14ac:dyDescent="0.2">
      <c r="B10" s="62" t="s">
        <v>5</v>
      </c>
      <c r="C10" s="63">
        <f ca="1">C7+C9-C8</f>
        <v>82.668000000000035</v>
      </c>
      <c r="E10" s="21"/>
      <c r="F10" s="30"/>
      <c r="G10" s="30"/>
    </row>
    <row r="11" spans="2:8" x14ac:dyDescent="0.2">
      <c r="E11" s="40" t="str">
        <f>'risk adjusted post approval '!E109</f>
        <v xml:space="preserve">Risk adjusted </v>
      </c>
      <c r="F11" s="15" t="str">
        <f>'risk adjusted post approval '!F109</f>
        <v xml:space="preserve">Equity value </v>
      </c>
      <c r="G11" s="15"/>
      <c r="H11" s="15" t="str">
        <f>'risk adjusted post approval '!G109</f>
        <v xml:space="preserve">per share </v>
      </c>
    </row>
    <row r="12" spans="2:8" x14ac:dyDescent="0.2">
      <c r="B12" s="49" t="s">
        <v>6</v>
      </c>
      <c r="E12" s="21" t="str">
        <f>'risk adjusted post approval '!E110</f>
        <v>r= 7.61%</v>
      </c>
      <c r="F12" s="30">
        <f ca="1">'risk adjusted post approval '!F110</f>
        <v>558.95352281294379</v>
      </c>
      <c r="G12" s="30"/>
      <c r="H12" s="30">
        <f ca="1">'risk adjusted post approval '!G110</f>
        <v>11.524814903359665</v>
      </c>
    </row>
    <row r="13" spans="2:8" x14ac:dyDescent="0.2">
      <c r="B13" s="35" t="s">
        <v>7</v>
      </c>
      <c r="C13">
        <v>688</v>
      </c>
      <c r="D13" s="67">
        <f ca="1">C10/C13</f>
        <v>0.1201569767441861</v>
      </c>
      <c r="E13" s="21" t="str">
        <f>'risk adjusted post approval '!E111</f>
        <v>r= 15%</v>
      </c>
      <c r="F13" s="30">
        <f>'risk adjusted post approval '!F111</f>
        <v>442.74331839042497</v>
      </c>
      <c r="G13" s="30"/>
      <c r="H13" s="30">
        <f>'risk adjusted post approval '!G111</f>
        <v>9.1287282142355668</v>
      </c>
    </row>
    <row r="14" spans="2:8" x14ac:dyDescent="0.2">
      <c r="B14" s="35" t="s">
        <v>8</v>
      </c>
      <c r="C14">
        <v>290</v>
      </c>
      <c r="D14" s="67">
        <f ca="1">C10/C14</f>
        <v>0.28506206896551733</v>
      </c>
      <c r="E14" s="21" t="str">
        <f>'risk adjusted post approval '!E112</f>
        <v xml:space="preserve">r= 20% </v>
      </c>
      <c r="F14" s="30">
        <f>'risk adjusted post approval '!F112</f>
        <v>391.53054381999823</v>
      </c>
      <c r="G14" s="30"/>
      <c r="H14" s="30">
        <f>'risk adjusted post approval '!G112</f>
        <v>8.0727947179381072</v>
      </c>
    </row>
    <row r="15" spans="2:8" x14ac:dyDescent="0.2">
      <c r="B15" s="35" t="s">
        <v>9</v>
      </c>
      <c r="C15" s="38">
        <f>SUM('risk adjusted post approval '!F39:P39)</f>
        <v>1920.0371966205353</v>
      </c>
    </row>
    <row r="16" spans="2:8" x14ac:dyDescent="0.2">
      <c r="B16" s="35" t="s">
        <v>10</v>
      </c>
      <c r="C16" s="68">
        <f ca="1">C10/C15</f>
        <v>4.3055415877100871E-2</v>
      </c>
    </row>
    <row r="17" spans="1:13" x14ac:dyDescent="0.2">
      <c r="D17" s="64"/>
    </row>
    <row r="18" spans="1:13" x14ac:dyDescent="0.2">
      <c r="B18" s="64" t="s">
        <v>11</v>
      </c>
      <c r="C18" s="69" t="s">
        <v>243</v>
      </c>
    </row>
    <row r="20" spans="1:13" x14ac:dyDescent="0.2">
      <c r="B20" s="35" t="s">
        <v>247</v>
      </c>
      <c r="C20" s="37">
        <f>C15*0.15</f>
        <v>288.00557949308029</v>
      </c>
      <c r="F20" s="49"/>
      <c r="I20" s="49"/>
    </row>
    <row r="21" spans="1:13" x14ac:dyDescent="0.2">
      <c r="B21" s="35" t="s">
        <v>137</v>
      </c>
      <c r="C21" s="37">
        <f>C8</f>
        <v>207.1</v>
      </c>
      <c r="F21" s="49"/>
      <c r="I21" s="49"/>
    </row>
    <row r="22" spans="1:13" x14ac:dyDescent="0.2">
      <c r="B22" s="35" t="s">
        <v>4</v>
      </c>
      <c r="C22" s="37">
        <f>C9</f>
        <v>24.1</v>
      </c>
      <c r="F22" s="49"/>
      <c r="I22" s="49"/>
    </row>
    <row r="23" spans="1:13" x14ac:dyDescent="0.2">
      <c r="B23" s="35" t="s">
        <v>248</v>
      </c>
      <c r="C23" s="37">
        <f>C20+C21-C22</f>
        <v>471.00557949308029</v>
      </c>
      <c r="F23" s="49"/>
      <c r="I23" s="49"/>
    </row>
    <row r="24" spans="1:13" x14ac:dyDescent="0.2">
      <c r="B24" s="35"/>
      <c r="C24" s="37">
        <f>C23/C6</f>
        <v>8.9886560971961895</v>
      </c>
      <c r="F24" s="49"/>
      <c r="I24" s="49"/>
    </row>
    <row r="25" spans="1:13" x14ac:dyDescent="0.2">
      <c r="B25" s="35"/>
      <c r="C25" s="37"/>
      <c r="F25" s="49"/>
      <c r="I25" s="49"/>
    </row>
    <row r="26" spans="1:13" ht="38.25" x14ac:dyDescent="0.2">
      <c r="B26" s="58" t="s">
        <v>12</v>
      </c>
      <c r="C26" s="58" t="s">
        <v>13</v>
      </c>
      <c r="D26" s="58" t="s">
        <v>14</v>
      </c>
      <c r="E26" s="58" t="s">
        <v>15</v>
      </c>
      <c r="F26" s="58" t="s">
        <v>16</v>
      </c>
      <c r="G26" s="58" t="s">
        <v>0</v>
      </c>
      <c r="H26" s="58" t="s">
        <v>246</v>
      </c>
      <c r="I26" s="58" t="s">
        <v>17</v>
      </c>
      <c r="J26" s="58" t="s">
        <v>18</v>
      </c>
      <c r="K26" s="65" t="s">
        <v>240</v>
      </c>
      <c r="L26" s="65" t="s">
        <v>241</v>
      </c>
      <c r="M26" s="58" t="s">
        <v>19</v>
      </c>
    </row>
    <row r="27" spans="1:13" x14ac:dyDescent="0.2">
      <c r="A27" s="35" t="s">
        <v>20</v>
      </c>
      <c r="B27" s="35" t="s">
        <v>21</v>
      </c>
      <c r="C27" s="35" t="s">
        <v>22</v>
      </c>
      <c r="D27" s="35" t="s">
        <v>23</v>
      </c>
      <c r="E27" s="35" t="s">
        <v>24</v>
      </c>
      <c r="F27">
        <v>10000</v>
      </c>
      <c r="G27" s="52">
        <v>2100000</v>
      </c>
      <c r="H27" s="37">
        <f>F27*G27/1000000000</f>
        <v>21</v>
      </c>
      <c r="I27">
        <v>1300</v>
      </c>
      <c r="J27">
        <v>8700</v>
      </c>
      <c r="K27" s="50">
        <f t="shared" ref="K27:K32" si="0">J27/I27</f>
        <v>6.6923076923076925</v>
      </c>
      <c r="L27" s="50">
        <f>J27/1000/H27</f>
        <v>0.41428571428571426</v>
      </c>
    </row>
    <row r="28" spans="1:13" x14ac:dyDescent="0.2">
      <c r="A28" s="35" t="s">
        <v>25</v>
      </c>
      <c r="B28" s="35" t="s">
        <v>26</v>
      </c>
      <c r="C28" s="35" t="s">
        <v>27</v>
      </c>
      <c r="D28" s="35" t="s">
        <v>28</v>
      </c>
      <c r="E28" s="35" t="s">
        <v>29</v>
      </c>
      <c r="H28" s="37">
        <f t="shared" ref="H28:H33" si="1">F28*G28/1000000000</f>
        <v>0</v>
      </c>
      <c r="I28">
        <v>200</v>
      </c>
      <c r="J28">
        <v>1000</v>
      </c>
      <c r="K28" s="50">
        <f t="shared" si="0"/>
        <v>5</v>
      </c>
      <c r="L28" s="50"/>
      <c r="M28" s="35" t="s">
        <v>30</v>
      </c>
    </row>
    <row r="29" spans="1:13" x14ac:dyDescent="0.2">
      <c r="A29" s="35" t="s">
        <v>31</v>
      </c>
      <c r="B29" s="56" t="s">
        <v>32</v>
      </c>
      <c r="C29" s="56" t="s">
        <v>32</v>
      </c>
      <c r="D29" s="56" t="s">
        <v>33</v>
      </c>
      <c r="E29" s="56" t="s">
        <v>34</v>
      </c>
      <c r="F29" s="57">
        <v>4000</v>
      </c>
      <c r="G29" s="57">
        <v>600000</v>
      </c>
      <c r="H29" s="73">
        <f t="shared" si="1"/>
        <v>2.4</v>
      </c>
      <c r="I29" s="57">
        <v>900</v>
      </c>
      <c r="J29" s="57">
        <v>4000</v>
      </c>
      <c r="K29" s="61">
        <f t="shared" si="0"/>
        <v>4.4444444444444446</v>
      </c>
      <c r="L29" s="61">
        <f t="shared" ref="L29:L34" si="2">J29/1000/H29</f>
        <v>1.6666666666666667</v>
      </c>
    </row>
    <row r="30" spans="1:13" x14ac:dyDescent="0.2">
      <c r="A30" s="35" t="s">
        <v>20</v>
      </c>
      <c r="B30" s="35" t="s">
        <v>35</v>
      </c>
      <c r="C30" s="35" t="s">
        <v>36</v>
      </c>
      <c r="D30" s="35" t="s">
        <v>37</v>
      </c>
      <c r="E30" s="35" t="s">
        <v>38</v>
      </c>
      <c r="F30">
        <v>3000</v>
      </c>
      <c r="G30">
        <v>850000</v>
      </c>
      <c r="H30" s="37">
        <f t="shared" si="1"/>
        <v>2.5499999999999998</v>
      </c>
      <c r="I30">
        <v>750</v>
      </c>
      <c r="J30">
        <v>4300</v>
      </c>
      <c r="K30" s="50">
        <f t="shared" si="0"/>
        <v>5.7333333333333334</v>
      </c>
      <c r="L30" s="50">
        <f t="shared" si="2"/>
        <v>1.6862745098039216</v>
      </c>
      <c r="M30" s="35" t="s">
        <v>39</v>
      </c>
    </row>
    <row r="31" spans="1:13" x14ac:dyDescent="0.2">
      <c r="A31" s="35" t="s">
        <v>40</v>
      </c>
      <c r="B31" t="s">
        <v>41</v>
      </c>
      <c r="C31" t="s">
        <v>42</v>
      </c>
      <c r="D31" t="s">
        <v>43</v>
      </c>
      <c r="E31" t="s">
        <v>44</v>
      </c>
      <c r="F31">
        <v>1000</v>
      </c>
      <c r="G31" s="52">
        <v>525000</v>
      </c>
      <c r="H31" s="37">
        <f t="shared" si="1"/>
        <v>0.52500000000000002</v>
      </c>
      <c r="I31">
        <v>300</v>
      </c>
      <c r="J31">
        <v>322</v>
      </c>
      <c r="K31" s="50">
        <f t="shared" si="0"/>
        <v>1.0733333333333333</v>
      </c>
      <c r="L31" s="50">
        <f t="shared" si="2"/>
        <v>0.61333333333333329</v>
      </c>
      <c r="M31" s="35" t="s">
        <v>45</v>
      </c>
    </row>
    <row r="32" spans="1:13" x14ac:dyDescent="0.2">
      <c r="A32" s="35" t="s">
        <v>31</v>
      </c>
      <c r="B32" s="35" t="s">
        <v>46</v>
      </c>
      <c r="C32" s="35" t="s">
        <v>47</v>
      </c>
      <c r="D32" s="35" t="s">
        <v>48</v>
      </c>
      <c r="E32" s="35" t="s">
        <v>49</v>
      </c>
      <c r="F32">
        <v>6000</v>
      </c>
      <c r="G32" s="52">
        <v>3200000</v>
      </c>
      <c r="H32" s="37">
        <f t="shared" si="1"/>
        <v>19.2</v>
      </c>
      <c r="I32">
        <v>2500</v>
      </c>
      <c r="J32">
        <v>2000</v>
      </c>
      <c r="K32" s="50">
        <f t="shared" si="0"/>
        <v>0.8</v>
      </c>
      <c r="L32" s="50">
        <f t="shared" si="2"/>
        <v>0.10416666666666667</v>
      </c>
      <c r="M32" s="51" t="s">
        <v>50</v>
      </c>
    </row>
    <row r="33" spans="1:13" x14ac:dyDescent="0.2">
      <c r="A33" s="35" t="s">
        <v>51</v>
      </c>
      <c r="B33" s="35" t="s">
        <v>52</v>
      </c>
      <c r="C33" s="35" t="s">
        <v>53</v>
      </c>
      <c r="D33" s="35" t="s">
        <v>54</v>
      </c>
      <c r="E33" s="35" t="s">
        <v>55</v>
      </c>
      <c r="F33" s="60">
        <v>127000</v>
      </c>
      <c r="G33" s="52">
        <f>419500</f>
        <v>419500</v>
      </c>
      <c r="H33" s="37">
        <f t="shared" si="1"/>
        <v>53.276499999999999</v>
      </c>
      <c r="I33">
        <v>224</v>
      </c>
      <c r="J33">
        <f>4.75*57.1-184</f>
        <v>87.225000000000023</v>
      </c>
      <c r="K33" s="50">
        <f>J33/I33</f>
        <v>0.38939732142857153</v>
      </c>
      <c r="L33" s="50">
        <f t="shared" si="2"/>
        <v>1.637213405535274E-3</v>
      </c>
      <c r="M33" s="51" t="s">
        <v>56</v>
      </c>
    </row>
    <row r="34" spans="1:13" x14ac:dyDescent="0.2">
      <c r="B34" s="71" t="s">
        <v>57</v>
      </c>
      <c r="C34" s="71" t="s">
        <v>57</v>
      </c>
      <c r="D34" s="71" t="s">
        <v>58</v>
      </c>
      <c r="E34" s="71" t="s">
        <v>59</v>
      </c>
      <c r="F34" s="71">
        <v>765</v>
      </c>
      <c r="G34" s="72">
        <v>3200000</v>
      </c>
      <c r="H34" s="73">
        <f>F34*G34/1000000000</f>
        <v>2.448</v>
      </c>
      <c r="I34" s="71">
        <v>688</v>
      </c>
      <c r="J34" s="74">
        <f ca="1">$C$10</f>
        <v>82.668000000000035</v>
      </c>
      <c r="K34" s="75">
        <f ca="1">J34/I34</f>
        <v>0.1201569767441861</v>
      </c>
      <c r="L34" s="61">
        <f t="shared" ca="1" si="2"/>
        <v>3.3769607843137268E-2</v>
      </c>
      <c r="M34" s="55" t="s">
        <v>60</v>
      </c>
    </row>
    <row r="35" spans="1:13" x14ac:dyDescent="0.2">
      <c r="A35" s="35" t="s">
        <v>61</v>
      </c>
      <c r="B35" s="35" t="s">
        <v>62</v>
      </c>
      <c r="C35" s="35" t="s">
        <v>62</v>
      </c>
      <c r="D35" s="35" t="s">
        <v>63</v>
      </c>
      <c r="E35" s="35" t="s">
        <v>64</v>
      </c>
      <c r="F35">
        <v>15000</v>
      </c>
      <c r="G35" s="52">
        <v>240000</v>
      </c>
      <c r="H35" s="37">
        <f>F35*G35/1000000000</f>
        <v>3.6</v>
      </c>
      <c r="I35">
        <v>1400</v>
      </c>
      <c r="J35" s="53"/>
      <c r="K35" s="54"/>
      <c r="L35" s="55"/>
    </row>
    <row r="36" spans="1:13" x14ac:dyDescent="0.2">
      <c r="A36" s="35" t="s">
        <v>61</v>
      </c>
      <c r="B36" s="35" t="s">
        <v>65</v>
      </c>
      <c r="C36" s="35" t="s">
        <v>66</v>
      </c>
      <c r="D36" s="35" t="s">
        <v>67</v>
      </c>
      <c r="E36" s="35" t="s">
        <v>68</v>
      </c>
      <c r="K36" s="35" t="s">
        <v>242</v>
      </c>
      <c r="L36" s="66">
        <f ca="1">MEDIAN(L27:L34)</f>
        <v>0.41428571428571426</v>
      </c>
    </row>
    <row r="37" spans="1:13" x14ac:dyDescent="0.2">
      <c r="A37" s="35" t="s">
        <v>61</v>
      </c>
      <c r="B37" s="35" t="s">
        <v>69</v>
      </c>
      <c r="C37" s="35" t="s">
        <v>70</v>
      </c>
      <c r="D37" s="35" t="s">
        <v>71</v>
      </c>
      <c r="E37" s="35" t="s">
        <v>72</v>
      </c>
      <c r="K37" s="59"/>
    </row>
    <row r="38" spans="1:13" x14ac:dyDescent="0.2">
      <c r="A38" s="35" t="s">
        <v>61</v>
      </c>
      <c r="B38" s="35" t="s">
        <v>73</v>
      </c>
      <c r="C38" s="35" t="s">
        <v>73</v>
      </c>
      <c r="D38" s="35" t="s">
        <v>74</v>
      </c>
      <c r="E38" s="35" t="s">
        <v>75</v>
      </c>
    </row>
    <row r="39" spans="1:13" x14ac:dyDescent="0.2">
      <c r="A39" s="35" t="s">
        <v>61</v>
      </c>
      <c r="B39" s="35" t="s">
        <v>69</v>
      </c>
      <c r="C39" s="35" t="s">
        <v>70</v>
      </c>
      <c r="D39" s="35" t="s">
        <v>76</v>
      </c>
      <c r="E39" s="35" t="s">
        <v>77</v>
      </c>
    </row>
    <row r="40" spans="1:13" x14ac:dyDescent="0.2">
      <c r="A40" s="35" t="s">
        <v>61</v>
      </c>
      <c r="B40" s="35" t="s">
        <v>78</v>
      </c>
      <c r="D40" s="35" t="s">
        <v>79</v>
      </c>
      <c r="E40" s="35" t="s">
        <v>80</v>
      </c>
    </row>
    <row r="41" spans="1:13" x14ac:dyDescent="0.2">
      <c r="A41" s="35" t="s">
        <v>61</v>
      </c>
      <c r="B41" s="35" t="s">
        <v>81</v>
      </c>
      <c r="C41" s="35" t="s">
        <v>82</v>
      </c>
      <c r="D41" s="35" t="s">
        <v>83</v>
      </c>
      <c r="E41" s="35" t="s">
        <v>55</v>
      </c>
    </row>
    <row r="42" spans="1:13" x14ac:dyDescent="0.2">
      <c r="A42" s="35" t="s">
        <v>61</v>
      </c>
      <c r="B42" s="35" t="s">
        <v>73</v>
      </c>
      <c r="C42" s="35" t="s">
        <v>73</v>
      </c>
      <c r="D42" s="35" t="s">
        <v>84</v>
      </c>
      <c r="E42" s="35" t="s">
        <v>85</v>
      </c>
      <c r="G42" s="52"/>
      <c r="H42" s="52"/>
    </row>
    <row r="43" spans="1:13" x14ac:dyDescent="0.2">
      <c r="A43" s="35" t="s">
        <v>61</v>
      </c>
      <c r="B43" s="35" t="s">
        <v>65</v>
      </c>
      <c r="C43" s="35" t="s">
        <v>86</v>
      </c>
      <c r="D43" s="35" t="s">
        <v>87</v>
      </c>
      <c r="E43" s="35" t="s">
        <v>88</v>
      </c>
      <c r="G43" s="52"/>
      <c r="H43" s="52"/>
    </row>
    <row r="44" spans="1:13" x14ac:dyDescent="0.2">
      <c r="A44" s="35"/>
      <c r="B44" s="35" t="s">
        <v>89</v>
      </c>
      <c r="C44" s="35" t="s">
        <v>89</v>
      </c>
      <c r="D44" s="35" t="s">
        <v>90</v>
      </c>
      <c r="E44" s="35" t="s">
        <v>91</v>
      </c>
      <c r="G44" s="52"/>
      <c r="H44" s="52"/>
    </row>
    <row r="45" spans="1:13" x14ac:dyDescent="0.2">
      <c r="A45" s="35" t="s">
        <v>61</v>
      </c>
      <c r="B45" s="35" t="s">
        <v>73</v>
      </c>
      <c r="C45" s="35" t="s">
        <v>73</v>
      </c>
      <c r="D45" s="35" t="s">
        <v>92</v>
      </c>
      <c r="E45" s="35" t="s">
        <v>91</v>
      </c>
      <c r="G45" s="52"/>
      <c r="H45" s="52"/>
      <c r="K45" s="50"/>
    </row>
    <row r="46" spans="1:13" x14ac:dyDescent="0.2">
      <c r="B46" s="35" t="s">
        <v>22</v>
      </c>
      <c r="C46" s="35" t="s">
        <v>22</v>
      </c>
      <c r="D46" s="35" t="s">
        <v>93</v>
      </c>
      <c r="E46" s="35" t="s">
        <v>94</v>
      </c>
    </row>
    <row r="47" spans="1:13" x14ac:dyDescent="0.2">
      <c r="B47" s="35" t="s">
        <v>95</v>
      </c>
      <c r="C47" s="35" t="s">
        <v>95</v>
      </c>
      <c r="D47" s="35" t="s">
        <v>96</v>
      </c>
      <c r="E47" s="35" t="s">
        <v>97</v>
      </c>
    </row>
  </sheetData>
  <sortState xmlns:xlrd2="http://schemas.microsoft.com/office/spreadsheetml/2017/richdata2" ref="A27:L47">
    <sortCondition descending="1" ref="K27:K47"/>
  </sortState>
  <hyperlinks>
    <hyperlink ref="M33" r:id="rId1" display="Peak sales estimate from financial advisor (GS) during acquisition for " xr:uid="{286438AB-A556-4A05-9794-569FB67044E0}"/>
    <hyperlink ref="F33" r:id="rId2" display="https://www.sciencedirect.com/science/article/pii/S1098301522019994" xr:uid="{1777C655-406C-495C-8DDF-57B4B4650FBE}"/>
    <hyperlink ref="M32" r:id="rId3" display="Even after all the problems and associated risks, we are trading at more than 3x the Abeona multple. Also, we have been very generous with SRPT revenue forecast " xr:uid="{B1F9E8C0-1C43-417B-AE14-10252D1E60A0}"/>
    <hyperlink ref="M34" location="'risk adjusted post approval '!A1" display="'risk adjusted post approval '!A1" xr:uid="{50739CF8-9AD2-41B1-9CAC-C6287B81306F}"/>
    <hyperlink ref="C8" r:id="rId4" display="javascript:void(0);" xr:uid="{AFB416BB-23C0-4AF8-8F4C-CC32B8917F2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12"/>
  <sheetViews>
    <sheetView showGridLines="0" workbookViewId="0">
      <selection activeCell="C2" sqref="C2"/>
    </sheetView>
  </sheetViews>
  <sheetFormatPr defaultColWidth="12.42578125" defaultRowHeight="15.75" customHeight="1" x14ac:dyDescent="0.2"/>
  <cols>
    <col min="2" max="2" width="22.42578125" customWidth="1"/>
    <col min="3" max="3" width="14.7109375" customWidth="1"/>
    <col min="6" max="6" width="15.42578125" bestFit="1" customWidth="1"/>
    <col min="21" max="21" width="6.42578125" customWidth="1"/>
  </cols>
  <sheetData>
    <row r="1" spans="1:15" ht="15.75" customHeight="1" x14ac:dyDescent="0.2">
      <c r="A1" s="7" t="s">
        <v>102</v>
      </c>
    </row>
    <row r="3" spans="1:15" ht="15.75" customHeight="1" x14ac:dyDescent="0.2">
      <c r="B3" s="8" t="s">
        <v>103</v>
      </c>
      <c r="C3" s="8" t="s">
        <v>104</v>
      </c>
      <c r="D3" s="8" t="s">
        <v>105</v>
      </c>
      <c r="E3" s="8" t="s">
        <v>106</v>
      </c>
      <c r="F3" s="8" t="s">
        <v>107</v>
      </c>
      <c r="G3" s="8" t="s">
        <v>19</v>
      </c>
    </row>
    <row r="4" spans="1:15" ht="15.75" customHeight="1" x14ac:dyDescent="0.2">
      <c r="B4" s="1" t="s">
        <v>108</v>
      </c>
      <c r="C4" s="9">
        <f>12562/340</f>
        <v>36.94705882352941</v>
      </c>
      <c r="D4" s="1">
        <v>95</v>
      </c>
      <c r="E4" s="1">
        <v>340</v>
      </c>
      <c r="F4" s="1">
        <f>C4*E4</f>
        <v>12562</v>
      </c>
      <c r="G4" s="1" t="s">
        <v>109</v>
      </c>
    </row>
    <row r="5" spans="1:15" ht="15.75" customHeight="1" x14ac:dyDescent="0.2">
      <c r="B5" s="1" t="s">
        <v>110</v>
      </c>
      <c r="C5" s="9">
        <f>750/E5</f>
        <v>2.2058823529411766</v>
      </c>
      <c r="D5" s="10" t="s">
        <v>111</v>
      </c>
      <c r="E5" s="1">
        <v>340</v>
      </c>
      <c r="F5" s="1">
        <v>750</v>
      </c>
      <c r="G5" s="1" t="s">
        <v>112</v>
      </c>
    </row>
    <row r="6" spans="1:15" ht="15.75" customHeight="1" x14ac:dyDescent="0.2">
      <c r="A6" s="10" t="s">
        <v>31</v>
      </c>
      <c r="B6" s="6" t="s">
        <v>113</v>
      </c>
      <c r="C6" s="1">
        <v>1.35</v>
      </c>
      <c r="D6" s="1">
        <v>3.05</v>
      </c>
      <c r="E6" s="1">
        <v>340</v>
      </c>
      <c r="F6" s="1">
        <f>C6*E6</f>
        <v>459.00000000000006</v>
      </c>
      <c r="G6" s="1" t="s">
        <v>114</v>
      </c>
    </row>
    <row r="7" spans="1:15" ht="15.75" customHeight="1" x14ac:dyDescent="0.2">
      <c r="A7" s="10" t="s">
        <v>31</v>
      </c>
      <c r="B7" s="6" t="s">
        <v>115</v>
      </c>
      <c r="C7" s="1">
        <v>2.1</v>
      </c>
      <c r="D7" s="1">
        <v>5.5</v>
      </c>
      <c r="E7" s="1">
        <v>340</v>
      </c>
      <c r="F7" s="1">
        <f>E7*C7</f>
        <v>714</v>
      </c>
      <c r="G7" s="1" t="s">
        <v>116</v>
      </c>
      <c r="L7" s="37"/>
    </row>
    <row r="8" spans="1:15" ht="15.75" customHeight="1" x14ac:dyDescent="0.2">
      <c r="A8" s="10"/>
      <c r="B8" s="1" t="s">
        <v>117</v>
      </c>
      <c r="C8" s="5"/>
      <c r="D8" s="1"/>
      <c r="E8" s="1">
        <v>340</v>
      </c>
    </row>
    <row r="9" spans="1:15" ht="15.75" customHeight="1" x14ac:dyDescent="0.2">
      <c r="A9" s="10" t="s">
        <v>31</v>
      </c>
      <c r="B9" s="6" t="s">
        <v>118</v>
      </c>
      <c r="C9" s="5">
        <v>3.3</v>
      </c>
      <c r="D9" s="1">
        <v>8.1</v>
      </c>
      <c r="E9" s="1">
        <v>340</v>
      </c>
      <c r="F9" s="1">
        <f>C9*E9</f>
        <v>1122</v>
      </c>
      <c r="G9" s="1" t="s">
        <v>119</v>
      </c>
    </row>
    <row r="10" spans="1:15" ht="15.75" customHeight="1" x14ac:dyDescent="0.2">
      <c r="B10" s="5" t="s">
        <v>120</v>
      </c>
      <c r="C10" s="11">
        <f t="shared" ref="C10:D10" si="0">AVERAGE(C6:C9)</f>
        <v>2.25</v>
      </c>
      <c r="D10" s="11">
        <f t="shared" si="0"/>
        <v>5.55</v>
      </c>
      <c r="F10" s="11">
        <f>AVERAGE(F6:F9)</f>
        <v>765</v>
      </c>
    </row>
    <row r="11" spans="1:15" ht="15.75" customHeight="1" x14ac:dyDescent="0.2">
      <c r="C11" s="5"/>
      <c r="D11" s="1"/>
    </row>
    <row r="12" spans="1:15" ht="15.75" customHeight="1" x14ac:dyDescent="0.2">
      <c r="B12" s="1" t="s">
        <v>121</v>
      </c>
      <c r="C12" s="12">
        <f>(D10*3.6)/F10</f>
        <v>2.611764705882353E-2</v>
      </c>
      <c r="D12" s="1"/>
    </row>
    <row r="13" spans="1:15" ht="15.75" customHeight="1" x14ac:dyDescent="0.2">
      <c r="B13" s="1" t="s">
        <v>122</v>
      </c>
      <c r="C13" s="13">
        <f>1/C12</f>
        <v>38.288288288288285</v>
      </c>
      <c r="D13" s="1"/>
    </row>
    <row r="14" spans="1:15" ht="15.75" customHeight="1" x14ac:dyDescent="0.2">
      <c r="B14" s="14" t="s">
        <v>123</v>
      </c>
      <c r="C14" s="5"/>
      <c r="D14" s="1"/>
      <c r="I14" s="14"/>
    </row>
    <row r="15" spans="1:15" ht="15.75" customHeight="1" x14ac:dyDescent="0.2">
      <c r="B15" s="5"/>
      <c r="C15" s="5"/>
      <c r="D15" s="1"/>
      <c r="I15" s="14" t="s">
        <v>124</v>
      </c>
    </row>
    <row r="16" spans="1:15" ht="15.75" customHeight="1" x14ac:dyDescent="0.2">
      <c r="B16" s="8" t="s">
        <v>125</v>
      </c>
      <c r="C16" s="8" t="s">
        <v>100</v>
      </c>
      <c r="D16" s="1"/>
      <c r="E16" s="8" t="e" vm="2">
        <v>#VALUE!</v>
      </c>
      <c r="F16" s="15"/>
      <c r="H16" s="8" t="s">
        <v>126</v>
      </c>
      <c r="I16" s="8" t="s">
        <v>127</v>
      </c>
      <c r="J16" s="8" t="s">
        <v>128</v>
      </c>
      <c r="K16" s="8" t="s">
        <v>129</v>
      </c>
      <c r="L16" s="8" t="s">
        <v>130</v>
      </c>
      <c r="M16" s="8" t="s">
        <v>131</v>
      </c>
      <c r="N16" s="8" t="s">
        <v>98</v>
      </c>
      <c r="O16" s="8" t="s">
        <v>132</v>
      </c>
    </row>
    <row r="17" spans="1:24" ht="15.75" customHeight="1" x14ac:dyDescent="0.2">
      <c r="B17" s="1" t="s">
        <v>133</v>
      </c>
      <c r="C17" s="1" t="s">
        <v>134</v>
      </c>
      <c r="E17" s="1" t="s">
        <v>2</v>
      </c>
      <c r="F17" s="9" cm="1">
        <f t="array" aca="1" ref="F17" ca="1">_FV(E16,"Market cap",TRUE)/1000000</f>
        <v>8083.6386499999999</v>
      </c>
      <c r="G17" s="1" t="s">
        <v>135</v>
      </c>
      <c r="H17" s="1" t="s">
        <v>99</v>
      </c>
      <c r="J17" s="1">
        <v>8.6</v>
      </c>
      <c r="K17" s="1">
        <v>42.1</v>
      </c>
      <c r="L17" s="1">
        <v>45.3</v>
      </c>
      <c r="M17" s="1">
        <v>70.3</v>
      </c>
      <c r="N17" s="1">
        <v>83.8</v>
      </c>
      <c r="O17" s="1">
        <v>91.1</v>
      </c>
    </row>
    <row r="18" spans="1:24" ht="15.75" customHeight="1" x14ac:dyDescent="0.2">
      <c r="B18" s="1" t="s">
        <v>136</v>
      </c>
      <c r="C18" s="9">
        <f>91.1 * 4</f>
        <v>364.4</v>
      </c>
      <c r="E18" s="1" t="s">
        <v>137</v>
      </c>
      <c r="F18" s="1">
        <v>724.76</v>
      </c>
      <c r="G18" s="1" t="s">
        <v>138</v>
      </c>
      <c r="H18" s="1" t="s">
        <v>139</v>
      </c>
      <c r="J18" s="9">
        <f t="shared" ref="J18:O18" si="1">J17*1000000/($F$21/4)</f>
        <v>68.690966719492849</v>
      </c>
      <c r="K18" s="9">
        <f t="shared" si="1"/>
        <v>336.26624405705223</v>
      </c>
      <c r="L18" s="9">
        <f t="shared" si="1"/>
        <v>361.82567353407285</v>
      </c>
      <c r="M18" s="9">
        <f t="shared" si="1"/>
        <v>561.5087163232962</v>
      </c>
      <c r="N18" s="9">
        <f t="shared" si="1"/>
        <v>669.33755942947687</v>
      </c>
      <c r="O18" s="9">
        <f t="shared" si="1"/>
        <v>727.64500792393017</v>
      </c>
    </row>
    <row r="19" spans="1:24" ht="15.75" customHeight="1" x14ac:dyDescent="0.2">
      <c r="B19" s="1" t="s">
        <v>140</v>
      </c>
      <c r="C19" s="9">
        <f>C18*1.26</f>
        <v>459.14399999999995</v>
      </c>
      <c r="E19" s="1" t="s">
        <v>101</v>
      </c>
      <c r="F19" s="9">
        <f ca="1">F17-F18</f>
        <v>7358.8786499999997</v>
      </c>
      <c r="G19" s="1" t="s">
        <v>135</v>
      </c>
      <c r="H19" s="1" t="s">
        <v>141</v>
      </c>
      <c r="J19" s="9">
        <f t="shared" ref="J19:O19" si="2">$C$23</f>
        <v>1108.3999999999999</v>
      </c>
      <c r="K19" s="9">
        <f t="shared" si="2"/>
        <v>1108.3999999999999</v>
      </c>
      <c r="L19" s="9">
        <f t="shared" si="2"/>
        <v>1108.3999999999999</v>
      </c>
      <c r="M19" s="9">
        <f t="shared" si="2"/>
        <v>1108.3999999999999</v>
      </c>
      <c r="N19" s="9">
        <f t="shared" si="2"/>
        <v>1108.3999999999999</v>
      </c>
      <c r="O19" s="9">
        <f t="shared" si="2"/>
        <v>1108.3999999999999</v>
      </c>
    </row>
    <row r="20" spans="1:24" ht="15.75" customHeight="1" x14ac:dyDescent="0.2">
      <c r="B20" s="1" t="s">
        <v>142</v>
      </c>
      <c r="C20" s="1">
        <v>631000</v>
      </c>
      <c r="E20" s="1" t="s">
        <v>143</v>
      </c>
      <c r="F20" s="9">
        <f>F21*F22/1000000</f>
        <v>1001.5873015873017</v>
      </c>
      <c r="G20" s="1" t="s">
        <v>135</v>
      </c>
      <c r="H20" s="1" t="s">
        <v>144</v>
      </c>
      <c r="J20" s="3">
        <f t="shared" ref="J20:O20" si="3">J18/J19</f>
        <v>6.1973084373414707E-2</v>
      </c>
      <c r="K20" s="3">
        <f t="shared" si="3"/>
        <v>0.30337986652566967</v>
      </c>
      <c r="L20" s="3">
        <f t="shared" si="3"/>
        <v>0.3264396188506612</v>
      </c>
      <c r="M20" s="3">
        <f t="shared" si="3"/>
        <v>0.50659393388965746</v>
      </c>
      <c r="N20" s="3">
        <f t="shared" si="3"/>
        <v>0.6038772640107154</v>
      </c>
      <c r="O20" s="3">
        <f t="shared" si="3"/>
        <v>0.65648232400210238</v>
      </c>
    </row>
    <row r="21" spans="1:24" ht="15.75" customHeight="1" x14ac:dyDescent="0.2">
      <c r="B21" s="1" t="s">
        <v>16</v>
      </c>
      <c r="C21" s="9">
        <f>C19*1000000/C20</f>
        <v>727.64500792393017</v>
      </c>
      <c r="E21" s="16" t="s">
        <v>145</v>
      </c>
      <c r="F21" s="9">
        <f>C18*1000000/C21</f>
        <v>500793.65079365089</v>
      </c>
      <c r="G21" s="1" t="s">
        <v>146</v>
      </c>
      <c r="O21" s="1" t="s">
        <v>147</v>
      </c>
    </row>
    <row r="22" spans="1:24" ht="15.75" customHeight="1" x14ac:dyDescent="0.2">
      <c r="A22" s="14"/>
      <c r="B22" s="1" t="s">
        <v>148</v>
      </c>
      <c r="C22" s="9">
        <v>2000</v>
      </c>
      <c r="D22" s="1" t="s">
        <v>149</v>
      </c>
      <c r="E22" s="16" t="s">
        <v>148</v>
      </c>
      <c r="F22" s="9">
        <f>C22</f>
        <v>2000</v>
      </c>
    </row>
    <row r="23" spans="1:24" ht="15.75" customHeight="1" x14ac:dyDescent="0.2">
      <c r="A23" s="1" t="s">
        <v>150</v>
      </c>
      <c r="B23" s="14" t="s">
        <v>151</v>
      </c>
      <c r="C23" s="17">
        <f>340*3.26</f>
        <v>1108.3999999999999</v>
      </c>
      <c r="E23" s="18" t="s">
        <v>152</v>
      </c>
      <c r="F23" s="19">
        <f ca="1">F19/F20</f>
        <v>7.347216401743264</v>
      </c>
      <c r="G23" s="1" t="s">
        <v>61</v>
      </c>
    </row>
    <row r="24" spans="1:24" ht="15.75" customHeight="1" x14ac:dyDescent="0.2">
      <c r="B24" s="1" t="s">
        <v>153</v>
      </c>
      <c r="C24">
        <v>765</v>
      </c>
      <c r="E24" s="1"/>
      <c r="F24" s="9"/>
      <c r="G24" s="1"/>
    </row>
    <row r="25" spans="1:24" ht="15.75" customHeight="1" x14ac:dyDescent="0.2">
      <c r="B25" s="7"/>
    </row>
    <row r="26" spans="1:24" ht="15.75" customHeight="1" x14ac:dyDescent="0.2">
      <c r="A26" s="1" t="s">
        <v>154</v>
      </c>
    </row>
    <row r="27" spans="1:24" ht="15.75" customHeight="1" x14ac:dyDescent="0.2">
      <c r="B27" s="15"/>
      <c r="C27" s="8" t="s">
        <v>19</v>
      </c>
      <c r="D27" s="8">
        <v>2022</v>
      </c>
      <c r="E27" s="8">
        <v>2023</v>
      </c>
      <c r="F27" s="20">
        <v>2024</v>
      </c>
      <c r="Q27" s="1" t="s">
        <v>155</v>
      </c>
    </row>
    <row r="28" spans="1:24" ht="15.75" customHeight="1" x14ac:dyDescent="0.2">
      <c r="B28" s="1" t="s">
        <v>156</v>
      </c>
      <c r="F28" s="21"/>
      <c r="G28" s="8">
        <v>2025</v>
      </c>
      <c r="H28" s="8">
        <f t="shared" ref="H28:X28" si="4">G28+1</f>
        <v>2026</v>
      </c>
      <c r="I28" s="8">
        <f t="shared" si="4"/>
        <v>2027</v>
      </c>
      <c r="J28" s="8">
        <f t="shared" si="4"/>
        <v>2028</v>
      </c>
      <c r="K28" s="8">
        <f t="shared" si="4"/>
        <v>2029</v>
      </c>
      <c r="L28" s="8">
        <f t="shared" si="4"/>
        <v>2030</v>
      </c>
      <c r="M28" s="8">
        <f t="shared" si="4"/>
        <v>2031</v>
      </c>
      <c r="N28" s="8">
        <f t="shared" si="4"/>
        <v>2032</v>
      </c>
      <c r="O28" s="8">
        <f t="shared" si="4"/>
        <v>2033</v>
      </c>
      <c r="P28" s="8">
        <f t="shared" si="4"/>
        <v>2034</v>
      </c>
      <c r="Q28" s="8">
        <f t="shared" si="4"/>
        <v>2035</v>
      </c>
      <c r="R28" s="8">
        <f t="shared" si="4"/>
        <v>2036</v>
      </c>
      <c r="S28" s="8">
        <f t="shared" si="4"/>
        <v>2037</v>
      </c>
      <c r="T28" s="8">
        <f t="shared" si="4"/>
        <v>2038</v>
      </c>
      <c r="U28" s="8">
        <f t="shared" si="4"/>
        <v>2039</v>
      </c>
      <c r="V28" s="8">
        <f t="shared" si="4"/>
        <v>2040</v>
      </c>
      <c r="W28" s="8">
        <f t="shared" si="4"/>
        <v>2041</v>
      </c>
      <c r="X28" s="8">
        <f t="shared" si="4"/>
        <v>2042</v>
      </c>
    </row>
    <row r="29" spans="1:24" ht="15.75" customHeight="1" x14ac:dyDescent="0.2">
      <c r="B29" s="1" t="s">
        <v>157</v>
      </c>
      <c r="C29" s="1" t="s">
        <v>158</v>
      </c>
      <c r="F29" s="21"/>
      <c r="G29" s="1">
        <v>340</v>
      </c>
      <c r="H29" s="1">
        <v>340</v>
      </c>
      <c r="I29" s="1">
        <v>340</v>
      </c>
      <c r="J29" s="1">
        <v>340</v>
      </c>
      <c r="K29" s="1">
        <v>340</v>
      </c>
      <c r="L29" s="1">
        <v>340</v>
      </c>
      <c r="M29" s="1">
        <v>340</v>
      </c>
      <c r="N29" s="1">
        <v>340</v>
      </c>
      <c r="O29" s="1">
        <v>340</v>
      </c>
      <c r="P29" s="1">
        <v>340</v>
      </c>
      <c r="Q29" s="1">
        <v>340</v>
      </c>
      <c r="R29" s="1">
        <v>340</v>
      </c>
      <c r="S29" s="1">
        <v>340</v>
      </c>
      <c r="T29" s="1">
        <v>340</v>
      </c>
      <c r="U29" s="1">
        <v>340</v>
      </c>
      <c r="V29" s="1">
        <v>340</v>
      </c>
      <c r="W29" s="1">
        <v>340</v>
      </c>
      <c r="X29" s="1">
        <v>340</v>
      </c>
    </row>
    <row r="30" spans="1:24" ht="15.75" customHeight="1" x14ac:dyDescent="0.2">
      <c r="B30" s="1" t="s">
        <v>159</v>
      </c>
      <c r="F30" s="21"/>
      <c r="G30" s="1">
        <f t="shared" ref="G30:X30" si="5">AVERAGE($C$9,$C$7,$C$6)</f>
        <v>2.25</v>
      </c>
      <c r="H30" s="1">
        <f t="shared" si="5"/>
        <v>2.25</v>
      </c>
      <c r="I30" s="1">
        <f t="shared" si="5"/>
        <v>2.25</v>
      </c>
      <c r="J30" s="1">
        <f t="shared" si="5"/>
        <v>2.25</v>
      </c>
      <c r="K30" s="1">
        <f t="shared" si="5"/>
        <v>2.25</v>
      </c>
      <c r="L30" s="1">
        <f t="shared" si="5"/>
        <v>2.25</v>
      </c>
      <c r="M30" s="1">
        <f t="shared" si="5"/>
        <v>2.25</v>
      </c>
      <c r="N30" s="1">
        <f t="shared" si="5"/>
        <v>2.25</v>
      </c>
      <c r="O30" s="1">
        <f t="shared" si="5"/>
        <v>2.25</v>
      </c>
      <c r="P30" s="1">
        <f t="shared" si="5"/>
        <v>2.25</v>
      </c>
      <c r="Q30" s="1">
        <f t="shared" si="5"/>
        <v>2.25</v>
      </c>
      <c r="R30" s="1">
        <f t="shared" si="5"/>
        <v>2.25</v>
      </c>
      <c r="S30" s="1">
        <f t="shared" si="5"/>
        <v>2.25</v>
      </c>
      <c r="T30" s="1">
        <f t="shared" si="5"/>
        <v>2.25</v>
      </c>
      <c r="U30" s="1">
        <f t="shared" si="5"/>
        <v>2.25</v>
      </c>
      <c r="V30" s="1">
        <f t="shared" si="5"/>
        <v>2.25</v>
      </c>
      <c r="W30" s="1">
        <f t="shared" si="5"/>
        <v>2.25</v>
      </c>
      <c r="X30" s="1">
        <f t="shared" si="5"/>
        <v>2.25</v>
      </c>
    </row>
    <row r="31" spans="1:24" ht="15.75" customHeight="1" x14ac:dyDescent="0.2">
      <c r="B31" s="1" t="s">
        <v>160</v>
      </c>
      <c r="F31" s="21"/>
      <c r="G31" s="1">
        <f t="shared" ref="G31:X31" si="6">G29*G30</f>
        <v>765</v>
      </c>
      <c r="H31" s="1">
        <f t="shared" si="6"/>
        <v>765</v>
      </c>
      <c r="I31" s="1">
        <f t="shared" si="6"/>
        <v>765</v>
      </c>
      <c r="J31" s="1">
        <f t="shared" si="6"/>
        <v>765</v>
      </c>
      <c r="K31" s="1">
        <f t="shared" si="6"/>
        <v>765</v>
      </c>
      <c r="L31" s="1">
        <f t="shared" si="6"/>
        <v>765</v>
      </c>
      <c r="M31" s="1">
        <f t="shared" si="6"/>
        <v>765</v>
      </c>
      <c r="N31" s="1">
        <f t="shared" si="6"/>
        <v>765</v>
      </c>
      <c r="O31" s="1">
        <f t="shared" si="6"/>
        <v>765</v>
      </c>
      <c r="P31" s="1">
        <f t="shared" si="6"/>
        <v>765</v>
      </c>
      <c r="Q31" s="1">
        <f t="shared" si="6"/>
        <v>765</v>
      </c>
      <c r="R31" s="1">
        <f t="shared" si="6"/>
        <v>765</v>
      </c>
      <c r="S31" s="1">
        <f t="shared" si="6"/>
        <v>765</v>
      </c>
      <c r="T31" s="1">
        <f t="shared" si="6"/>
        <v>765</v>
      </c>
      <c r="U31" s="1">
        <f t="shared" si="6"/>
        <v>765</v>
      </c>
      <c r="V31" s="1">
        <f t="shared" si="6"/>
        <v>765</v>
      </c>
      <c r="W31" s="1">
        <f t="shared" si="6"/>
        <v>765</v>
      </c>
      <c r="X31" s="1">
        <f t="shared" si="6"/>
        <v>765</v>
      </c>
    </row>
    <row r="32" spans="1:24" ht="15.75" customHeight="1" x14ac:dyDescent="0.2">
      <c r="B32" s="1" t="s">
        <v>105</v>
      </c>
      <c r="C32" s="1" t="s">
        <v>158</v>
      </c>
      <c r="F32" s="21"/>
      <c r="G32" s="1">
        <v>3.6</v>
      </c>
      <c r="H32" s="1">
        <v>3.6</v>
      </c>
      <c r="I32" s="1">
        <v>3.6</v>
      </c>
      <c r="J32" s="1">
        <v>3.6</v>
      </c>
      <c r="K32" s="1">
        <v>3.6</v>
      </c>
      <c r="L32" s="1">
        <v>3.6</v>
      </c>
      <c r="M32" s="1">
        <v>3.6</v>
      </c>
      <c r="N32" s="1">
        <v>3.6</v>
      </c>
      <c r="O32" s="1">
        <v>3.6</v>
      </c>
      <c r="P32" s="1">
        <v>3.6</v>
      </c>
      <c r="Q32" s="1">
        <v>3.6</v>
      </c>
      <c r="R32" s="1">
        <v>3.6</v>
      </c>
      <c r="S32" s="1">
        <v>3.6</v>
      </c>
      <c r="T32" s="1">
        <v>3.6</v>
      </c>
      <c r="U32" s="1">
        <v>3.6</v>
      </c>
      <c r="V32" s="1">
        <v>3.6</v>
      </c>
      <c r="W32" s="1">
        <v>3.6</v>
      </c>
      <c r="X32" s="1">
        <v>3.6</v>
      </c>
    </row>
    <row r="33" spans="2:25" ht="15.75" customHeight="1" x14ac:dyDescent="0.2">
      <c r="B33" s="1" t="s">
        <v>161</v>
      </c>
      <c r="F33" s="21"/>
      <c r="G33" s="9">
        <v>5.55</v>
      </c>
      <c r="H33" s="9">
        <v>5.55</v>
      </c>
      <c r="I33" s="9">
        <v>5.55</v>
      </c>
      <c r="J33" s="9">
        <v>5.55</v>
      </c>
      <c r="K33" s="9">
        <v>5.55</v>
      </c>
      <c r="L33" s="9">
        <v>5.55</v>
      </c>
      <c r="M33" s="9">
        <v>5.55</v>
      </c>
      <c r="N33" s="9">
        <v>5.55</v>
      </c>
      <c r="O33" s="9">
        <v>5.55</v>
      </c>
      <c r="P33" s="9">
        <v>5.55</v>
      </c>
      <c r="Q33" s="9">
        <v>5.55</v>
      </c>
      <c r="R33" s="9">
        <v>5.55</v>
      </c>
      <c r="S33" s="9">
        <v>5.55</v>
      </c>
      <c r="T33" s="9">
        <v>5.55</v>
      </c>
      <c r="U33" s="9">
        <v>5.55</v>
      </c>
      <c r="V33" s="9">
        <v>5.55</v>
      </c>
      <c r="W33" s="9">
        <v>5.55</v>
      </c>
      <c r="X33" s="9">
        <v>5.55</v>
      </c>
    </row>
    <row r="34" spans="2:25" ht="15.75" customHeight="1" x14ac:dyDescent="0.2">
      <c r="B34" s="1" t="s">
        <v>162</v>
      </c>
      <c r="C34" s="1" t="s">
        <v>163</v>
      </c>
      <c r="F34" s="21"/>
      <c r="G34" s="1">
        <f t="shared" ref="G34:X34" si="7">G33*G32</f>
        <v>19.98</v>
      </c>
      <c r="H34" s="1">
        <f t="shared" si="7"/>
        <v>19.98</v>
      </c>
      <c r="I34" s="1">
        <f t="shared" si="7"/>
        <v>19.98</v>
      </c>
      <c r="J34" s="1">
        <f t="shared" si="7"/>
        <v>19.98</v>
      </c>
      <c r="K34" s="1">
        <f t="shared" si="7"/>
        <v>19.98</v>
      </c>
      <c r="L34" s="1">
        <f t="shared" si="7"/>
        <v>19.98</v>
      </c>
      <c r="M34" s="1">
        <f t="shared" si="7"/>
        <v>19.98</v>
      </c>
      <c r="N34" s="1">
        <f t="shared" si="7"/>
        <v>19.98</v>
      </c>
      <c r="O34" s="1">
        <f t="shared" si="7"/>
        <v>19.98</v>
      </c>
      <c r="P34" s="1">
        <f t="shared" si="7"/>
        <v>19.98</v>
      </c>
      <c r="Q34" s="1">
        <f t="shared" si="7"/>
        <v>19.98</v>
      </c>
      <c r="R34" s="1">
        <f t="shared" si="7"/>
        <v>19.98</v>
      </c>
      <c r="S34" s="1">
        <f t="shared" si="7"/>
        <v>19.98</v>
      </c>
      <c r="T34" s="1">
        <f t="shared" si="7"/>
        <v>19.98</v>
      </c>
      <c r="U34" s="1">
        <f t="shared" si="7"/>
        <v>19.98</v>
      </c>
      <c r="V34" s="1">
        <f t="shared" si="7"/>
        <v>19.98</v>
      </c>
      <c r="W34" s="1">
        <f t="shared" si="7"/>
        <v>19.98</v>
      </c>
      <c r="X34" s="1">
        <f t="shared" si="7"/>
        <v>19.98</v>
      </c>
      <c r="Y34" s="9"/>
    </row>
    <row r="35" spans="2:25" ht="15.75" customHeight="1" x14ac:dyDescent="0.2">
      <c r="B35" s="1" t="s">
        <v>164</v>
      </c>
      <c r="F35" s="21"/>
      <c r="G35" s="9">
        <f>G31*0.8*2</f>
        <v>1224</v>
      </c>
      <c r="H35" s="9">
        <f t="shared" ref="H35:X35" si="8">G35-G36+H34*2*0.8</f>
        <v>1230.9680000000001</v>
      </c>
      <c r="I35" s="9">
        <f t="shared" si="8"/>
        <v>1152.9360000000001</v>
      </c>
      <c r="J35" s="9">
        <f t="shared" si="8"/>
        <v>984.90400000000011</v>
      </c>
      <c r="K35" s="9">
        <f t="shared" si="8"/>
        <v>816.87200000000007</v>
      </c>
      <c r="L35" s="9">
        <f t="shared" si="8"/>
        <v>648.84</v>
      </c>
      <c r="M35" s="9">
        <f t="shared" si="8"/>
        <v>480.80800000000005</v>
      </c>
      <c r="N35" s="9">
        <f t="shared" si="8"/>
        <v>312.77600000000007</v>
      </c>
      <c r="O35" s="9">
        <f t="shared" si="8"/>
        <v>144.74400000000009</v>
      </c>
      <c r="P35" s="9">
        <f t="shared" si="8"/>
        <v>31.968000000000004</v>
      </c>
      <c r="Q35" s="9">
        <f t="shared" si="8"/>
        <v>31.968000000000004</v>
      </c>
      <c r="R35" s="9">
        <f t="shared" si="8"/>
        <v>31.968000000000004</v>
      </c>
      <c r="S35" s="9">
        <f t="shared" si="8"/>
        <v>31.968000000000004</v>
      </c>
      <c r="T35" s="9">
        <f t="shared" si="8"/>
        <v>31.968000000000004</v>
      </c>
      <c r="U35" s="9">
        <f t="shared" si="8"/>
        <v>31.968000000000004</v>
      </c>
      <c r="V35" s="9">
        <f t="shared" si="8"/>
        <v>31.968000000000004</v>
      </c>
      <c r="W35" s="9">
        <f t="shared" si="8"/>
        <v>31.968000000000004</v>
      </c>
      <c r="X35" s="9">
        <f t="shared" si="8"/>
        <v>31.968000000000004</v>
      </c>
      <c r="Y35" s="9">
        <f>SUM(G36:X36)</f>
        <v>1767.4560000000008</v>
      </c>
    </row>
    <row r="36" spans="2:25" ht="15.75" customHeight="1" x14ac:dyDescent="0.2">
      <c r="B36" s="1" t="s">
        <v>165</v>
      </c>
      <c r="C36" s="1" t="s">
        <v>166</v>
      </c>
      <c r="F36" s="21"/>
      <c r="G36" s="9">
        <v>25</v>
      </c>
      <c r="H36" s="9">
        <v>110</v>
      </c>
      <c r="I36" s="9">
        <v>200</v>
      </c>
      <c r="J36" s="9">
        <v>200</v>
      </c>
      <c r="K36" s="9">
        <v>200</v>
      </c>
      <c r="L36" s="9">
        <v>200</v>
      </c>
      <c r="M36" s="9">
        <v>200</v>
      </c>
      <c r="N36" s="9">
        <v>200</v>
      </c>
      <c r="O36" s="9">
        <f t="shared" ref="O36:X36" si="9">O35</f>
        <v>144.74400000000009</v>
      </c>
      <c r="P36" s="9">
        <f t="shared" si="9"/>
        <v>31.968000000000004</v>
      </c>
      <c r="Q36" s="9">
        <f t="shared" si="9"/>
        <v>31.968000000000004</v>
      </c>
      <c r="R36" s="9">
        <f t="shared" si="9"/>
        <v>31.968000000000004</v>
      </c>
      <c r="S36" s="9">
        <f t="shared" si="9"/>
        <v>31.968000000000004</v>
      </c>
      <c r="T36" s="9">
        <f t="shared" si="9"/>
        <v>31.968000000000004</v>
      </c>
      <c r="U36" s="9">
        <f t="shared" si="9"/>
        <v>31.968000000000004</v>
      </c>
      <c r="V36" s="9">
        <f t="shared" si="9"/>
        <v>31.968000000000004</v>
      </c>
      <c r="W36" s="9">
        <f t="shared" si="9"/>
        <v>31.968000000000004</v>
      </c>
      <c r="X36" s="9">
        <f t="shared" si="9"/>
        <v>31.968000000000004</v>
      </c>
    </row>
    <row r="37" spans="2:25" ht="15.75" customHeight="1" x14ac:dyDescent="0.2">
      <c r="B37" s="1" t="s">
        <v>167</v>
      </c>
      <c r="F37" s="21"/>
      <c r="G37" s="22">
        <v>1500000</v>
      </c>
      <c r="H37" s="22">
        <f t="shared" ref="H37:X37" si="10">G37*1.02</f>
        <v>1530000</v>
      </c>
      <c r="I37" s="22">
        <f t="shared" si="10"/>
        <v>1560600</v>
      </c>
      <c r="J37" s="22">
        <f t="shared" si="10"/>
        <v>1591812</v>
      </c>
      <c r="K37" s="22">
        <f t="shared" si="10"/>
        <v>1623648.24</v>
      </c>
      <c r="L37" s="22">
        <f t="shared" si="10"/>
        <v>1656121.2047999999</v>
      </c>
      <c r="M37" s="22">
        <f t="shared" si="10"/>
        <v>1689243.6288959999</v>
      </c>
      <c r="N37" s="22">
        <f t="shared" si="10"/>
        <v>1723028.50147392</v>
      </c>
      <c r="O37" s="22">
        <f t="shared" si="10"/>
        <v>1757489.0715033985</v>
      </c>
      <c r="P37" s="22">
        <f t="shared" si="10"/>
        <v>1792638.8529334664</v>
      </c>
      <c r="Q37" s="22">
        <f t="shared" si="10"/>
        <v>1828491.6299921358</v>
      </c>
      <c r="R37" s="22">
        <f t="shared" si="10"/>
        <v>1865061.4625919785</v>
      </c>
      <c r="S37" s="22">
        <f t="shared" si="10"/>
        <v>1902362.6918438182</v>
      </c>
      <c r="T37" s="22">
        <f t="shared" si="10"/>
        <v>1940409.9456806947</v>
      </c>
      <c r="U37" s="22">
        <f t="shared" si="10"/>
        <v>1979218.1445943087</v>
      </c>
      <c r="V37" s="22">
        <f t="shared" si="10"/>
        <v>2018802.5074861948</v>
      </c>
      <c r="W37" s="22">
        <f t="shared" si="10"/>
        <v>2059178.5576359187</v>
      </c>
      <c r="X37" s="22">
        <f t="shared" si="10"/>
        <v>2100362.128788637</v>
      </c>
    </row>
    <row r="38" spans="2:25" ht="15.75" customHeight="1" x14ac:dyDescent="0.2">
      <c r="B38" s="1" t="s">
        <v>99</v>
      </c>
      <c r="F38" s="21"/>
      <c r="G38" s="23">
        <f t="shared" ref="G38:X38" si="11">G37*0.74</f>
        <v>1110000</v>
      </c>
      <c r="H38" s="23">
        <f t="shared" si="11"/>
        <v>1132200</v>
      </c>
      <c r="I38" s="23">
        <f t="shared" si="11"/>
        <v>1154844</v>
      </c>
      <c r="J38" s="23">
        <f t="shared" si="11"/>
        <v>1177940.8799999999</v>
      </c>
      <c r="K38" s="23">
        <f t="shared" si="11"/>
        <v>1201499.6976000001</v>
      </c>
      <c r="L38" s="23">
        <f t="shared" si="11"/>
        <v>1225529.6915519999</v>
      </c>
      <c r="M38" s="23">
        <f t="shared" si="11"/>
        <v>1250040.2853830399</v>
      </c>
      <c r="N38" s="23">
        <f t="shared" si="11"/>
        <v>1275041.0910907008</v>
      </c>
      <c r="O38" s="23">
        <f t="shared" si="11"/>
        <v>1300541.9129125148</v>
      </c>
      <c r="P38" s="23">
        <f t="shared" si="11"/>
        <v>1326552.7511707651</v>
      </c>
      <c r="Q38" s="23">
        <f t="shared" si="11"/>
        <v>1353083.8061941804</v>
      </c>
      <c r="R38" s="23">
        <f t="shared" si="11"/>
        <v>1380145.482318064</v>
      </c>
      <c r="S38" s="23">
        <f t="shared" si="11"/>
        <v>1407748.3919644253</v>
      </c>
      <c r="T38" s="23">
        <f t="shared" si="11"/>
        <v>1435903.3598037141</v>
      </c>
      <c r="U38" s="23">
        <f t="shared" si="11"/>
        <v>1464621.4269997885</v>
      </c>
      <c r="V38" s="23">
        <f t="shared" si="11"/>
        <v>1493913.8555397841</v>
      </c>
      <c r="W38" s="23">
        <f t="shared" si="11"/>
        <v>1523792.1326505798</v>
      </c>
      <c r="X38" s="23">
        <f t="shared" si="11"/>
        <v>1554267.9753035915</v>
      </c>
    </row>
    <row r="39" spans="2:25" ht="15.75" customHeight="1" x14ac:dyDescent="0.2">
      <c r="B39" s="1" t="s">
        <v>168</v>
      </c>
      <c r="C39" s="1" t="s">
        <v>169</v>
      </c>
      <c r="F39" s="21"/>
      <c r="G39" s="19">
        <f t="shared" ref="G39:X39" si="12">G36*G38/1000000</f>
        <v>27.75</v>
      </c>
      <c r="H39" s="19">
        <f t="shared" si="12"/>
        <v>124.542</v>
      </c>
      <c r="I39" s="19">
        <f t="shared" si="12"/>
        <v>230.96879999999999</v>
      </c>
      <c r="J39" s="19">
        <f t="shared" si="12"/>
        <v>235.58817599999998</v>
      </c>
      <c r="K39" s="19">
        <f t="shared" si="12"/>
        <v>240.29993952000001</v>
      </c>
      <c r="L39" s="19">
        <f t="shared" si="12"/>
        <v>245.10593831039998</v>
      </c>
      <c r="M39" s="19">
        <f t="shared" si="12"/>
        <v>250.00805707660797</v>
      </c>
      <c r="N39" s="19">
        <f t="shared" si="12"/>
        <v>255.00821821814014</v>
      </c>
      <c r="O39" s="19">
        <f t="shared" si="12"/>
        <v>188.24563864260915</v>
      </c>
      <c r="P39" s="19">
        <f t="shared" si="12"/>
        <v>42.407238349427026</v>
      </c>
      <c r="Q39" s="19">
        <f t="shared" si="12"/>
        <v>43.255383116415558</v>
      </c>
      <c r="R39" s="19">
        <f t="shared" si="12"/>
        <v>44.120490778743871</v>
      </c>
      <c r="S39" s="19">
        <f t="shared" si="12"/>
        <v>45.002900594318753</v>
      </c>
      <c r="T39" s="19">
        <f t="shared" si="12"/>
        <v>45.902958606205132</v>
      </c>
      <c r="U39" s="19">
        <f t="shared" si="12"/>
        <v>46.821017778329242</v>
      </c>
      <c r="V39" s="19">
        <f t="shared" si="12"/>
        <v>47.757438133895825</v>
      </c>
      <c r="W39" s="19">
        <f t="shared" si="12"/>
        <v>48.71258689657374</v>
      </c>
      <c r="X39" s="19">
        <f t="shared" si="12"/>
        <v>49.686838634505222</v>
      </c>
    </row>
    <row r="40" spans="2:25" ht="15.75" customHeight="1" x14ac:dyDescent="0.2">
      <c r="B40" s="1" t="s">
        <v>170</v>
      </c>
      <c r="F40" s="21"/>
      <c r="G40" s="9">
        <f t="shared" ref="G40:X40" si="13">G39*0.15</f>
        <v>4.1624999999999996</v>
      </c>
      <c r="H40" s="9">
        <f t="shared" si="13"/>
        <v>18.6813</v>
      </c>
      <c r="I40" s="9">
        <f t="shared" si="13"/>
        <v>34.645319999999998</v>
      </c>
      <c r="J40" s="9">
        <f t="shared" si="13"/>
        <v>35.338226399999996</v>
      </c>
      <c r="K40" s="9">
        <f t="shared" si="13"/>
        <v>36.044990927999997</v>
      </c>
      <c r="L40" s="9">
        <f t="shared" si="13"/>
        <v>36.765890746559997</v>
      </c>
      <c r="M40" s="9">
        <f t="shared" si="13"/>
        <v>37.501208561491197</v>
      </c>
      <c r="N40" s="9">
        <f t="shared" si="13"/>
        <v>38.251232732721022</v>
      </c>
      <c r="O40" s="9">
        <f t="shared" si="13"/>
        <v>28.236845796391371</v>
      </c>
      <c r="P40" s="9">
        <f t="shared" si="13"/>
        <v>6.3610857524140538</v>
      </c>
      <c r="Q40" s="9">
        <f t="shared" si="13"/>
        <v>6.4883074674623336</v>
      </c>
      <c r="R40" s="9">
        <f t="shared" si="13"/>
        <v>6.6180736168115804</v>
      </c>
      <c r="S40" s="9">
        <f t="shared" si="13"/>
        <v>6.7504350891478131</v>
      </c>
      <c r="T40" s="9">
        <f t="shared" si="13"/>
        <v>6.8854437909307693</v>
      </c>
      <c r="U40" s="9">
        <f t="shared" si="13"/>
        <v>7.023152666749386</v>
      </c>
      <c r="V40" s="9">
        <f t="shared" si="13"/>
        <v>7.1636157200843735</v>
      </c>
      <c r="W40" s="9">
        <f t="shared" si="13"/>
        <v>7.3068880344860609</v>
      </c>
      <c r="X40" s="9">
        <f t="shared" si="13"/>
        <v>7.4530257951757832</v>
      </c>
    </row>
    <row r="41" spans="2:25" ht="15.75" customHeight="1" x14ac:dyDescent="0.2">
      <c r="F41" s="21"/>
      <c r="G41" s="24">
        <f t="shared" ref="G41:X41" si="14">G39-G40</f>
        <v>23.587499999999999</v>
      </c>
      <c r="H41" s="24">
        <f t="shared" si="14"/>
        <v>105.86070000000001</v>
      </c>
      <c r="I41" s="24">
        <f t="shared" si="14"/>
        <v>196.32347999999999</v>
      </c>
      <c r="J41" s="24">
        <f t="shared" si="14"/>
        <v>200.24994959999998</v>
      </c>
      <c r="K41" s="24">
        <f t="shared" si="14"/>
        <v>204.25494859200001</v>
      </c>
      <c r="L41" s="24">
        <f t="shared" si="14"/>
        <v>208.34004756383999</v>
      </c>
      <c r="M41" s="24">
        <f t="shared" si="14"/>
        <v>212.50684851511676</v>
      </c>
      <c r="N41" s="24">
        <f t="shared" si="14"/>
        <v>216.75698548541914</v>
      </c>
      <c r="O41" s="24">
        <f t="shared" si="14"/>
        <v>160.00879284621777</v>
      </c>
      <c r="P41" s="24">
        <f t="shared" si="14"/>
        <v>36.04615259701297</v>
      </c>
      <c r="Q41" s="24">
        <f t="shared" si="14"/>
        <v>36.767075648953224</v>
      </c>
      <c r="R41" s="24">
        <f t="shared" si="14"/>
        <v>37.502417161932293</v>
      </c>
      <c r="S41" s="24">
        <f t="shared" si="14"/>
        <v>38.252465505170939</v>
      </c>
      <c r="T41" s="24">
        <f t="shared" si="14"/>
        <v>39.01751481527436</v>
      </c>
      <c r="U41" s="24">
        <f t="shared" si="14"/>
        <v>39.797865111579853</v>
      </c>
      <c r="V41" s="24">
        <f t="shared" si="14"/>
        <v>40.593822413811452</v>
      </c>
      <c r="W41" s="24">
        <f t="shared" si="14"/>
        <v>41.405698862087675</v>
      </c>
      <c r="X41" s="24">
        <f t="shared" si="14"/>
        <v>42.233812839329438</v>
      </c>
    </row>
    <row r="42" spans="2:25" ht="15.75" customHeight="1" x14ac:dyDescent="0.2">
      <c r="B42" s="1" t="s">
        <v>171</v>
      </c>
      <c r="D42" s="1">
        <v>28.97</v>
      </c>
      <c r="E42" s="1">
        <v>31.09</v>
      </c>
      <c r="F42" s="1">
        <v>34.36</v>
      </c>
    </row>
    <row r="43" spans="2:25" ht="15.75" customHeight="1" x14ac:dyDescent="0.2">
      <c r="B43" s="1" t="s">
        <v>172</v>
      </c>
      <c r="D43" s="1">
        <v>17.260000000000002</v>
      </c>
      <c r="E43" s="1">
        <v>19</v>
      </c>
      <c r="F43" s="1">
        <v>29.85</v>
      </c>
      <c r="G43" s="1">
        <v>5</v>
      </c>
      <c r="H43" s="1">
        <v>5</v>
      </c>
      <c r="I43" s="1">
        <v>5</v>
      </c>
      <c r="J43" s="1">
        <v>5</v>
      </c>
      <c r="K43" s="1">
        <v>5</v>
      </c>
      <c r="L43" s="1">
        <v>5</v>
      </c>
      <c r="M43" s="1">
        <v>5</v>
      </c>
      <c r="N43" s="1">
        <v>5</v>
      </c>
      <c r="O43" s="1">
        <v>5</v>
      </c>
      <c r="P43" s="1">
        <v>5</v>
      </c>
      <c r="Q43" s="1">
        <v>5</v>
      </c>
      <c r="R43" s="1">
        <v>5</v>
      </c>
      <c r="S43" s="1">
        <v>5</v>
      </c>
      <c r="T43" s="1">
        <v>5</v>
      </c>
      <c r="U43" s="1">
        <v>5</v>
      </c>
      <c r="V43" s="1">
        <v>5</v>
      </c>
      <c r="W43" s="1">
        <v>5</v>
      </c>
      <c r="X43" s="1">
        <v>5</v>
      </c>
    </row>
    <row r="44" spans="2:25" ht="15.75" customHeight="1" x14ac:dyDescent="0.2">
      <c r="B44" s="1" t="s">
        <v>173</v>
      </c>
      <c r="F44" s="21"/>
      <c r="G44" s="9">
        <f t="shared" ref="G44:I44" si="15">136*1.5*0.225</f>
        <v>45.9</v>
      </c>
      <c r="H44" s="9">
        <f t="shared" si="15"/>
        <v>45.9</v>
      </c>
      <c r="I44" s="9">
        <f t="shared" si="15"/>
        <v>45.9</v>
      </c>
      <c r="J44" s="9">
        <f>J39*0.3</f>
        <v>70.676452799999993</v>
      </c>
      <c r="K44" s="9">
        <f t="shared" ref="K44:X44" si="16">K39*0.34</f>
        <v>81.701979436800002</v>
      </c>
      <c r="L44" s="9">
        <f t="shared" si="16"/>
        <v>83.336019025536004</v>
      </c>
      <c r="M44" s="9">
        <f t="shared" si="16"/>
        <v>85.002739406046715</v>
      </c>
      <c r="N44" s="9">
        <f t="shared" si="16"/>
        <v>86.702794194167652</v>
      </c>
      <c r="O44" s="9">
        <f t="shared" si="16"/>
        <v>64.003517138487112</v>
      </c>
      <c r="P44" s="9">
        <f t="shared" si="16"/>
        <v>14.418461038805189</v>
      </c>
      <c r="Q44" s="9">
        <f t="shared" si="16"/>
        <v>14.706830259581292</v>
      </c>
      <c r="R44" s="9">
        <f t="shared" si="16"/>
        <v>15.000966864772918</v>
      </c>
      <c r="S44" s="9">
        <f t="shared" si="16"/>
        <v>15.300986202068376</v>
      </c>
      <c r="T44" s="9">
        <f t="shared" si="16"/>
        <v>15.607005926109746</v>
      </c>
      <c r="U44" s="9">
        <f t="shared" si="16"/>
        <v>15.919146044631944</v>
      </c>
      <c r="V44" s="9">
        <f t="shared" si="16"/>
        <v>16.237528965524582</v>
      </c>
      <c r="W44" s="9">
        <f t="shared" si="16"/>
        <v>16.562279544835071</v>
      </c>
      <c r="X44" s="9">
        <f t="shared" si="16"/>
        <v>16.893525135731778</v>
      </c>
    </row>
    <row r="45" spans="2:25" ht="15.75" customHeight="1" x14ac:dyDescent="0.2">
      <c r="B45" s="1" t="s">
        <v>174</v>
      </c>
      <c r="D45" s="1">
        <v>0.43099999999999999</v>
      </c>
      <c r="E45" s="1">
        <v>2.117</v>
      </c>
      <c r="F45" s="21">
        <v>4.25</v>
      </c>
      <c r="G45" s="19">
        <f t="shared" ref="G45:X45" si="17">G41-G43-G44</f>
        <v>-27.3125</v>
      </c>
      <c r="H45" s="19">
        <f t="shared" si="17"/>
        <v>54.96070000000001</v>
      </c>
      <c r="I45" s="19">
        <f t="shared" si="17"/>
        <v>145.42347999999998</v>
      </c>
      <c r="J45" s="19">
        <f t="shared" si="17"/>
        <v>124.57349679999999</v>
      </c>
      <c r="K45" s="19">
        <f t="shared" si="17"/>
        <v>117.5529691552</v>
      </c>
      <c r="L45" s="19">
        <f t="shared" si="17"/>
        <v>120.00402853830398</v>
      </c>
      <c r="M45" s="19">
        <f t="shared" si="17"/>
        <v>122.50410910907004</v>
      </c>
      <c r="N45" s="19">
        <f t="shared" si="17"/>
        <v>125.05419129125148</v>
      </c>
      <c r="O45" s="19">
        <f t="shared" si="17"/>
        <v>91.005275707730661</v>
      </c>
      <c r="P45" s="19">
        <f t="shared" si="17"/>
        <v>16.627691558207779</v>
      </c>
      <c r="Q45" s="19">
        <f t="shared" si="17"/>
        <v>17.060245389371932</v>
      </c>
      <c r="R45" s="19">
        <f t="shared" si="17"/>
        <v>17.501450297159373</v>
      </c>
      <c r="S45" s="19">
        <f t="shared" si="17"/>
        <v>17.951479303102563</v>
      </c>
      <c r="T45" s="19">
        <f t="shared" si="17"/>
        <v>18.410508889164614</v>
      </c>
      <c r="U45" s="19">
        <f t="shared" si="17"/>
        <v>18.878719066947909</v>
      </c>
      <c r="V45" s="19">
        <f t="shared" si="17"/>
        <v>19.35629344828687</v>
      </c>
      <c r="W45" s="19">
        <f t="shared" si="17"/>
        <v>19.843419317252604</v>
      </c>
      <c r="X45" s="19">
        <f t="shared" si="17"/>
        <v>20.34028770359766</v>
      </c>
    </row>
    <row r="46" spans="2:25" ht="15.75" customHeight="1" x14ac:dyDescent="0.2">
      <c r="B46" s="1" t="s">
        <v>175</v>
      </c>
      <c r="F46" s="21">
        <v>4.2080000000000002</v>
      </c>
      <c r="G46" s="9">
        <v>4</v>
      </c>
      <c r="H46" s="9">
        <v>4</v>
      </c>
      <c r="I46" s="9">
        <v>4</v>
      </c>
      <c r="J46" s="9">
        <v>4</v>
      </c>
      <c r="K46" s="9">
        <v>4</v>
      </c>
      <c r="L46" s="9">
        <v>4</v>
      </c>
      <c r="M46" s="9">
        <v>4</v>
      </c>
      <c r="N46" s="9">
        <v>4</v>
      </c>
      <c r="O46" s="9">
        <v>4</v>
      </c>
      <c r="P46" s="9">
        <v>4</v>
      </c>
      <c r="Q46" s="9">
        <v>4</v>
      </c>
      <c r="R46" s="9">
        <v>4</v>
      </c>
      <c r="S46" s="9">
        <v>4</v>
      </c>
      <c r="T46" s="9">
        <v>4</v>
      </c>
      <c r="U46" s="9">
        <v>4</v>
      </c>
      <c r="V46" s="9">
        <v>4</v>
      </c>
      <c r="W46" s="9">
        <v>4</v>
      </c>
      <c r="X46" s="9">
        <v>4</v>
      </c>
    </row>
    <row r="47" spans="2:25" ht="15.75" customHeight="1" x14ac:dyDescent="0.2">
      <c r="B47" s="16" t="s">
        <v>176</v>
      </c>
      <c r="C47" s="1" t="s">
        <v>177</v>
      </c>
      <c r="F47" s="25">
        <f>F46/F62</f>
        <v>0.22194092827004219</v>
      </c>
      <c r="G47" s="1">
        <f t="shared" ref="G47:X47" si="18">G48*G62</f>
        <v>1.7550000000000001</v>
      </c>
      <c r="H47" s="1">
        <f t="shared" si="18"/>
        <v>1.7550000000000001</v>
      </c>
      <c r="I47" s="1">
        <f t="shared" si="18"/>
        <v>1.7550000000000001</v>
      </c>
      <c r="J47" s="1">
        <f t="shared" si="18"/>
        <v>1.7550000000000001</v>
      </c>
      <c r="K47" s="1">
        <f t="shared" si="18"/>
        <v>1.7550000000000001</v>
      </c>
      <c r="L47" s="1">
        <f t="shared" si="18"/>
        <v>1.7550000000000001</v>
      </c>
      <c r="M47" s="1">
        <f t="shared" si="18"/>
        <v>0</v>
      </c>
      <c r="N47" s="1">
        <f t="shared" si="18"/>
        <v>0</v>
      </c>
      <c r="O47" s="1">
        <f t="shared" si="18"/>
        <v>0</v>
      </c>
      <c r="P47" s="1">
        <f t="shared" si="18"/>
        <v>0</v>
      </c>
      <c r="Q47" s="1">
        <f t="shared" si="18"/>
        <v>0</v>
      </c>
      <c r="R47" s="1">
        <f t="shared" si="18"/>
        <v>0</v>
      </c>
      <c r="S47" s="1">
        <f t="shared" si="18"/>
        <v>0</v>
      </c>
      <c r="T47" s="1">
        <f t="shared" si="18"/>
        <v>0</v>
      </c>
      <c r="U47" s="1">
        <f t="shared" si="18"/>
        <v>0</v>
      </c>
      <c r="V47" s="1">
        <f t="shared" si="18"/>
        <v>0</v>
      </c>
      <c r="W47" s="1">
        <f t="shared" si="18"/>
        <v>0</v>
      </c>
      <c r="X47" s="1">
        <f t="shared" si="18"/>
        <v>0</v>
      </c>
      <c r="Y47" s="3"/>
    </row>
    <row r="48" spans="2:25" ht="15.75" customHeight="1" x14ac:dyDescent="0.2">
      <c r="B48" s="1" t="s">
        <v>178</v>
      </c>
      <c r="F48" s="21"/>
      <c r="G48" s="26">
        <v>0.13500000000000001</v>
      </c>
      <c r="H48" s="26">
        <v>0.13500000000000001</v>
      </c>
      <c r="I48" s="26">
        <v>0.13500000000000001</v>
      </c>
      <c r="J48" s="26">
        <v>0.13500000000000001</v>
      </c>
      <c r="K48" s="26">
        <v>0.13500000000000001</v>
      </c>
      <c r="L48" s="26">
        <v>0.13500000000000001</v>
      </c>
      <c r="M48" s="26">
        <v>0.13500000000000001</v>
      </c>
      <c r="N48" s="26">
        <v>0.13500000000000001</v>
      </c>
      <c r="O48" s="26">
        <v>0.13500000000000001</v>
      </c>
      <c r="P48" s="26">
        <v>0.13500000000000001</v>
      </c>
      <c r="Q48" s="26">
        <v>0.13500000000000001</v>
      </c>
      <c r="R48" s="26">
        <v>0.13500000000000001</v>
      </c>
      <c r="S48" s="26">
        <v>0.13500000000000001</v>
      </c>
      <c r="T48" s="26">
        <v>0.13500000000000001</v>
      </c>
      <c r="U48" s="26">
        <v>0.13500000000000001</v>
      </c>
      <c r="V48" s="26">
        <v>0.13500000000000001</v>
      </c>
      <c r="W48" s="26">
        <v>0.13500000000000001</v>
      </c>
      <c r="X48" s="26">
        <v>0.13500000000000001</v>
      </c>
    </row>
    <row r="49" spans="2:24" ht="15.75" customHeight="1" x14ac:dyDescent="0.2">
      <c r="B49" s="1" t="s">
        <v>179</v>
      </c>
      <c r="F49" s="21"/>
      <c r="G49" s="19">
        <f t="shared" ref="G49:X49" si="19">G45+G46-G47</f>
        <v>-25.067499999999999</v>
      </c>
      <c r="H49" s="19">
        <f t="shared" si="19"/>
        <v>57.205700000000007</v>
      </c>
      <c r="I49" s="19">
        <f t="shared" si="19"/>
        <v>147.66847999999999</v>
      </c>
      <c r="J49" s="19">
        <f t="shared" si="19"/>
        <v>126.81849679999999</v>
      </c>
      <c r="K49" s="19">
        <f t="shared" si="19"/>
        <v>119.79796915520001</v>
      </c>
      <c r="L49" s="19">
        <f t="shared" si="19"/>
        <v>122.24902853830399</v>
      </c>
      <c r="M49" s="19">
        <f t="shared" si="19"/>
        <v>126.50410910907004</v>
      </c>
      <c r="N49" s="19">
        <f t="shared" si="19"/>
        <v>129.05419129125147</v>
      </c>
      <c r="O49" s="19">
        <f t="shared" si="19"/>
        <v>95.005275707730661</v>
      </c>
      <c r="P49" s="19">
        <f t="shared" si="19"/>
        <v>20.627691558207779</v>
      </c>
      <c r="Q49" s="19">
        <f t="shared" si="19"/>
        <v>21.060245389371932</v>
      </c>
      <c r="R49" s="19">
        <f t="shared" si="19"/>
        <v>21.501450297159373</v>
      </c>
      <c r="S49" s="19">
        <f t="shared" si="19"/>
        <v>21.951479303102563</v>
      </c>
      <c r="T49" s="19">
        <f t="shared" si="19"/>
        <v>22.410508889164614</v>
      </c>
      <c r="U49" s="19">
        <f t="shared" si="19"/>
        <v>22.878719066947909</v>
      </c>
      <c r="V49" s="19">
        <f t="shared" si="19"/>
        <v>23.35629344828687</v>
      </c>
      <c r="W49" s="19">
        <f t="shared" si="19"/>
        <v>23.843419317252604</v>
      </c>
      <c r="X49" s="19">
        <f t="shared" si="19"/>
        <v>24.34028770359766</v>
      </c>
    </row>
    <row r="50" spans="2:24" ht="15.75" customHeight="1" x14ac:dyDescent="0.2">
      <c r="B50" s="1" t="s">
        <v>180</v>
      </c>
      <c r="F50" s="21"/>
      <c r="G50" s="1">
        <f t="shared" ref="G50:X50" si="20">IF(G49&gt;0,G49*0.2,0)</f>
        <v>0</v>
      </c>
      <c r="H50" s="1">
        <f t="shared" si="20"/>
        <v>11.441140000000003</v>
      </c>
      <c r="I50" s="1">
        <f t="shared" si="20"/>
        <v>29.533695999999999</v>
      </c>
      <c r="J50" s="1">
        <f t="shared" si="20"/>
        <v>25.363699359999998</v>
      </c>
      <c r="K50" s="1">
        <f t="shared" si="20"/>
        <v>23.959593831040003</v>
      </c>
      <c r="L50" s="1">
        <f t="shared" si="20"/>
        <v>24.449805707660801</v>
      </c>
      <c r="M50" s="1">
        <f t="shared" si="20"/>
        <v>25.300821821814012</v>
      </c>
      <c r="N50" s="1">
        <f t="shared" si="20"/>
        <v>25.810838258250296</v>
      </c>
      <c r="O50" s="1">
        <f t="shared" si="20"/>
        <v>19.001055141546132</v>
      </c>
      <c r="P50" s="1">
        <f t="shared" si="20"/>
        <v>4.1255383116415558</v>
      </c>
      <c r="Q50" s="1">
        <f t="shared" si="20"/>
        <v>4.2120490778743864</v>
      </c>
      <c r="R50" s="1">
        <f t="shared" si="20"/>
        <v>4.3002900594318749</v>
      </c>
      <c r="S50" s="1">
        <f t="shared" si="20"/>
        <v>4.3902958606205127</v>
      </c>
      <c r="T50" s="1">
        <f t="shared" si="20"/>
        <v>4.4821017778329226</v>
      </c>
      <c r="U50" s="1">
        <f t="shared" si="20"/>
        <v>4.5757438133895816</v>
      </c>
      <c r="V50" s="1">
        <f t="shared" si="20"/>
        <v>4.6712586896573738</v>
      </c>
      <c r="W50" s="1">
        <f t="shared" si="20"/>
        <v>4.7686838634505211</v>
      </c>
      <c r="X50" s="1">
        <f t="shared" si="20"/>
        <v>4.8680575407195326</v>
      </c>
    </row>
    <row r="51" spans="2:24" ht="15.75" customHeight="1" x14ac:dyDescent="0.2">
      <c r="F51" s="21"/>
      <c r="G51" s="24">
        <f t="shared" ref="G51:X51" si="21">G49-G50</f>
        <v>-25.067499999999999</v>
      </c>
      <c r="H51" s="24">
        <f t="shared" si="21"/>
        <v>45.764560000000003</v>
      </c>
      <c r="I51" s="24">
        <f t="shared" si="21"/>
        <v>118.134784</v>
      </c>
      <c r="J51" s="24">
        <f t="shared" si="21"/>
        <v>101.45479743999999</v>
      </c>
      <c r="K51" s="24">
        <f t="shared" si="21"/>
        <v>95.838375324160012</v>
      </c>
      <c r="L51" s="24">
        <f t="shared" si="21"/>
        <v>97.799222830643188</v>
      </c>
      <c r="M51" s="24">
        <f t="shared" si="21"/>
        <v>101.20328728725603</v>
      </c>
      <c r="N51" s="24">
        <f t="shared" si="21"/>
        <v>103.24335303300117</v>
      </c>
      <c r="O51" s="24">
        <f t="shared" si="21"/>
        <v>76.004220566184529</v>
      </c>
      <c r="P51" s="24">
        <f t="shared" si="21"/>
        <v>16.502153246566223</v>
      </c>
      <c r="Q51" s="24">
        <f t="shared" si="21"/>
        <v>16.848196311497546</v>
      </c>
      <c r="R51" s="24">
        <f t="shared" si="21"/>
        <v>17.2011602377275</v>
      </c>
      <c r="S51" s="24">
        <f t="shared" si="21"/>
        <v>17.561183442482051</v>
      </c>
      <c r="T51" s="24">
        <f t="shared" si="21"/>
        <v>17.928407111331691</v>
      </c>
      <c r="U51" s="24">
        <f t="shared" si="21"/>
        <v>18.302975253558326</v>
      </c>
      <c r="V51" s="24">
        <f t="shared" si="21"/>
        <v>18.685034758629495</v>
      </c>
      <c r="W51" s="24">
        <f t="shared" si="21"/>
        <v>19.074735453802084</v>
      </c>
      <c r="X51" s="24">
        <f t="shared" si="21"/>
        <v>19.472230162878127</v>
      </c>
    </row>
    <row r="52" spans="2:24" ht="15.75" customHeight="1" x14ac:dyDescent="0.2">
      <c r="F52" s="21" t="s">
        <v>181</v>
      </c>
      <c r="G52" s="9"/>
    </row>
    <row r="53" spans="2:24" ht="15.75" customHeight="1" x14ac:dyDescent="0.2">
      <c r="F53" s="21"/>
      <c r="G53" s="9"/>
    </row>
    <row r="54" spans="2:24" ht="15.75" customHeight="1" x14ac:dyDescent="0.2">
      <c r="F54" s="21"/>
      <c r="G54" s="9"/>
    </row>
    <row r="55" spans="2:24" ht="15.75" customHeight="1" x14ac:dyDescent="0.2">
      <c r="F55" s="21"/>
      <c r="G55" s="9"/>
    </row>
    <row r="56" spans="2:24" ht="15.75" customHeight="1" x14ac:dyDescent="0.2">
      <c r="B56" s="7" t="s">
        <v>182</v>
      </c>
      <c r="F56" s="21"/>
    </row>
    <row r="57" spans="2:24" ht="15.75" customHeight="1" x14ac:dyDescent="0.2">
      <c r="B57" s="1" t="s">
        <v>183</v>
      </c>
      <c r="D57" s="1">
        <v>4.55</v>
      </c>
      <c r="E57" s="1">
        <v>3.2</v>
      </c>
      <c r="F57" s="21">
        <v>2.91</v>
      </c>
      <c r="G57" s="1">
        <v>3</v>
      </c>
      <c r="H57" s="1">
        <v>3</v>
      </c>
      <c r="I57" s="1">
        <v>3</v>
      </c>
      <c r="J57" s="1">
        <v>3</v>
      </c>
      <c r="K57" s="1">
        <v>3</v>
      </c>
      <c r="L57" s="1">
        <v>3</v>
      </c>
      <c r="M57" s="1">
        <v>3</v>
      </c>
      <c r="N57" s="1">
        <v>3</v>
      </c>
      <c r="O57" s="1">
        <v>3</v>
      </c>
      <c r="P57" s="1">
        <v>3</v>
      </c>
      <c r="Q57" s="1">
        <v>3</v>
      </c>
      <c r="R57" s="1">
        <v>3</v>
      </c>
      <c r="S57" s="1">
        <v>3</v>
      </c>
      <c r="T57" s="1">
        <v>3</v>
      </c>
      <c r="U57" s="1">
        <v>3</v>
      </c>
      <c r="V57" s="1">
        <v>3</v>
      </c>
      <c r="W57" s="1">
        <v>3</v>
      </c>
      <c r="X57" s="1">
        <v>3</v>
      </c>
    </row>
    <row r="58" spans="2:24" ht="15.75" customHeight="1" x14ac:dyDescent="0.2">
      <c r="B58" s="1" t="s">
        <v>184</v>
      </c>
      <c r="D58" s="1">
        <v>3</v>
      </c>
      <c r="E58" s="1">
        <v>4.7679999999999998</v>
      </c>
      <c r="F58" s="21">
        <v>6.62</v>
      </c>
      <c r="G58" s="1">
        <v>8</v>
      </c>
      <c r="H58" s="1">
        <f t="shared" ref="H58:O58" si="22">G58*1.02</f>
        <v>8.16</v>
      </c>
      <c r="I58" s="1">
        <f t="shared" si="22"/>
        <v>8.3231999999999999</v>
      </c>
      <c r="J58" s="1">
        <f t="shared" si="22"/>
        <v>8.4896639999999994</v>
      </c>
      <c r="K58" s="1">
        <f t="shared" si="22"/>
        <v>8.6594572799999998</v>
      </c>
      <c r="L58" s="1">
        <f t="shared" si="22"/>
        <v>8.8326464256000001</v>
      </c>
      <c r="M58" s="1">
        <f t="shared" si="22"/>
        <v>9.0092993541120006</v>
      </c>
      <c r="N58" s="1">
        <f t="shared" si="22"/>
        <v>9.1894853411942403</v>
      </c>
      <c r="O58" s="1">
        <f t="shared" si="22"/>
        <v>9.3732750480181259</v>
      </c>
      <c r="P58" s="1">
        <v>5</v>
      </c>
      <c r="Q58" s="9">
        <f t="shared" ref="Q58:X58" si="23">P58*1.02</f>
        <v>5.0999999999999996</v>
      </c>
      <c r="R58" s="9">
        <f t="shared" si="23"/>
        <v>5.202</v>
      </c>
      <c r="S58" s="9">
        <f t="shared" si="23"/>
        <v>5.3060400000000003</v>
      </c>
      <c r="T58" s="9">
        <f t="shared" si="23"/>
        <v>5.4121608000000005</v>
      </c>
      <c r="U58" s="9">
        <f t="shared" si="23"/>
        <v>5.5204040160000005</v>
      </c>
      <c r="V58" s="9">
        <f t="shared" si="23"/>
        <v>5.6308120963200006</v>
      </c>
      <c r="W58" s="9">
        <f t="shared" si="23"/>
        <v>5.7434283382464004</v>
      </c>
      <c r="X58" s="9">
        <f t="shared" si="23"/>
        <v>5.8582969050113283</v>
      </c>
    </row>
    <row r="59" spans="2:24" ht="15.75" customHeight="1" x14ac:dyDescent="0.2">
      <c r="B59" s="1" t="s">
        <v>185</v>
      </c>
      <c r="D59" s="1">
        <v>0.13</v>
      </c>
      <c r="E59" s="1">
        <v>0.33100000000000002</v>
      </c>
      <c r="F59" s="21">
        <v>2.4460000000000002</v>
      </c>
      <c r="G59" s="1">
        <v>5</v>
      </c>
      <c r="H59" s="1">
        <v>5</v>
      </c>
    </row>
    <row r="60" spans="2:24" ht="15.75" customHeight="1" x14ac:dyDescent="0.2">
      <c r="B60" s="1" t="s">
        <v>186</v>
      </c>
      <c r="D60" s="1"/>
      <c r="E60" s="1"/>
      <c r="F60" s="21"/>
      <c r="G60" s="27">
        <f t="shared" ref="G60:X60" si="24">G45+G57+G58+G59</f>
        <v>-11.3125</v>
      </c>
      <c r="H60" s="27">
        <f t="shared" si="24"/>
        <v>71.120700000000014</v>
      </c>
      <c r="I60" s="27">
        <f t="shared" si="24"/>
        <v>156.74667999999997</v>
      </c>
      <c r="J60" s="27">
        <f t="shared" si="24"/>
        <v>136.06316079999999</v>
      </c>
      <c r="K60" s="27">
        <f t="shared" si="24"/>
        <v>129.2124264352</v>
      </c>
      <c r="L60" s="27">
        <f t="shared" si="24"/>
        <v>131.83667496390399</v>
      </c>
      <c r="M60" s="27">
        <f t="shared" si="24"/>
        <v>134.51340846318203</v>
      </c>
      <c r="N60" s="27">
        <f t="shared" si="24"/>
        <v>137.2436766324457</v>
      </c>
      <c r="O60" s="27">
        <f t="shared" si="24"/>
        <v>103.37855075574879</v>
      </c>
      <c r="P60" s="27">
        <f t="shared" si="24"/>
        <v>24.627691558207779</v>
      </c>
      <c r="Q60" s="27">
        <f t="shared" si="24"/>
        <v>25.16024538937193</v>
      </c>
      <c r="R60" s="27">
        <f t="shared" si="24"/>
        <v>25.703450297159371</v>
      </c>
      <c r="S60" s="27">
        <f t="shared" si="24"/>
        <v>26.257519303102562</v>
      </c>
      <c r="T60" s="27">
        <f t="shared" si="24"/>
        <v>26.822669689164613</v>
      </c>
      <c r="U60" s="27">
        <f t="shared" si="24"/>
        <v>27.399123082947909</v>
      </c>
      <c r="V60" s="27">
        <f t="shared" si="24"/>
        <v>27.98710554460687</v>
      </c>
      <c r="W60" s="27">
        <f t="shared" si="24"/>
        <v>28.586847655499003</v>
      </c>
      <c r="X60" s="27">
        <f t="shared" si="24"/>
        <v>29.198584608608989</v>
      </c>
    </row>
    <row r="61" spans="2:24" ht="15.75" customHeight="1" x14ac:dyDescent="0.2">
      <c r="B61" s="1"/>
      <c r="D61" s="1"/>
      <c r="E61" s="1"/>
      <c r="F61" s="21"/>
    </row>
    <row r="62" spans="2:24" ht="15.75" customHeight="1" x14ac:dyDescent="0.2">
      <c r="B62" s="1" t="s">
        <v>4</v>
      </c>
      <c r="F62" s="21">
        <v>18.96</v>
      </c>
      <c r="G62" s="1">
        <v>13</v>
      </c>
      <c r="H62" s="1">
        <v>13</v>
      </c>
      <c r="I62" s="1">
        <v>13</v>
      </c>
      <c r="J62" s="1">
        <v>13</v>
      </c>
      <c r="K62" s="1">
        <v>13</v>
      </c>
      <c r="L62" s="1">
        <v>13</v>
      </c>
      <c r="M62" s="1">
        <v>0</v>
      </c>
      <c r="N62" s="1">
        <v>0</v>
      </c>
      <c r="O62" s="1">
        <v>0</v>
      </c>
      <c r="P62" s="1">
        <v>0</v>
      </c>
      <c r="Q62" s="1">
        <v>0</v>
      </c>
      <c r="R62" s="1">
        <v>0</v>
      </c>
      <c r="S62" s="1">
        <v>0</v>
      </c>
      <c r="T62" s="1">
        <v>0</v>
      </c>
      <c r="U62" s="1">
        <v>0</v>
      </c>
      <c r="V62" s="1">
        <v>0</v>
      </c>
      <c r="W62" s="1">
        <v>0</v>
      </c>
      <c r="X62" s="1">
        <v>0</v>
      </c>
    </row>
    <row r="63" spans="2:24" ht="15.75" customHeight="1" x14ac:dyDescent="0.2">
      <c r="B63" s="1" t="s">
        <v>187</v>
      </c>
      <c r="D63" s="1">
        <v>17.72</v>
      </c>
      <c r="E63" s="1">
        <v>26.524000000000001</v>
      </c>
      <c r="F63" s="21">
        <v>45.643999999999998</v>
      </c>
      <c r="G63" s="9"/>
      <c r="H63" s="9"/>
      <c r="I63" s="9"/>
      <c r="J63" s="9"/>
      <c r="K63" s="9"/>
      <c r="L63" s="9"/>
      <c r="M63" s="9"/>
      <c r="N63" s="9"/>
      <c r="O63" s="9"/>
      <c r="P63" s="9"/>
      <c r="Q63" s="9"/>
      <c r="R63" s="9"/>
      <c r="S63" s="9"/>
      <c r="T63" s="9"/>
      <c r="U63" s="9"/>
      <c r="V63" s="9"/>
      <c r="W63" s="9"/>
      <c r="X63" s="9"/>
    </row>
    <row r="65" spans="6:11" ht="15.75" customHeight="1" x14ac:dyDescent="0.2">
      <c r="F65" s="1" t="s">
        <v>188</v>
      </c>
    </row>
    <row r="66" spans="6:11" ht="15.75" customHeight="1" x14ac:dyDescent="0.2">
      <c r="F66" s="8" t="s">
        <v>189</v>
      </c>
      <c r="G66" s="8">
        <v>2020</v>
      </c>
      <c r="H66" s="8">
        <v>2021</v>
      </c>
      <c r="I66" s="8">
        <v>2022</v>
      </c>
      <c r="J66" s="8">
        <v>2023</v>
      </c>
      <c r="K66" s="8">
        <v>2024</v>
      </c>
    </row>
    <row r="67" spans="6:11" ht="15.75" customHeight="1" x14ac:dyDescent="0.2">
      <c r="F67" s="1" t="s">
        <v>190</v>
      </c>
      <c r="G67" s="3">
        <v>8.8999999999999999E-3</v>
      </c>
      <c r="H67" s="3">
        <v>1.4500000000000001E-2</v>
      </c>
      <c r="I67" s="3">
        <v>2.9499999999999998E-2</v>
      </c>
      <c r="J67" s="3">
        <v>3.9600000000000003E-2</v>
      </c>
      <c r="K67" s="3">
        <v>4.2000000000000003E-2</v>
      </c>
    </row>
    <row r="68" spans="6:11" ht="15.75" customHeight="1" x14ac:dyDescent="0.2">
      <c r="F68" s="1" t="s">
        <v>191</v>
      </c>
      <c r="G68" s="9">
        <v>1.7</v>
      </c>
      <c r="H68" s="9">
        <v>1.7</v>
      </c>
      <c r="I68" s="9">
        <v>1.7</v>
      </c>
      <c r="J68" s="9">
        <v>1.7</v>
      </c>
      <c r="K68" s="9">
        <v>1.7</v>
      </c>
    </row>
    <row r="69" spans="6:11" ht="15.75" customHeight="1" x14ac:dyDescent="0.2">
      <c r="F69" s="1" t="s">
        <v>192</v>
      </c>
      <c r="G69" s="3">
        <v>4.7199999999999999E-2</v>
      </c>
      <c r="H69" s="3">
        <v>4.24E-2</v>
      </c>
      <c r="I69" s="3">
        <v>5.9400000000000001E-2</v>
      </c>
      <c r="J69" s="3">
        <v>4.5999999999999999E-2</v>
      </c>
      <c r="K69" s="3">
        <v>4.3299999999999998E-2</v>
      </c>
    </row>
    <row r="70" spans="6:11" ht="15.75" customHeight="1" x14ac:dyDescent="0.2">
      <c r="F70" s="1" t="s">
        <v>193</v>
      </c>
      <c r="G70" s="3">
        <f t="shared" ref="G70:K70" si="25">G67+G68*G69</f>
        <v>8.9139999999999997E-2</v>
      </c>
      <c r="H70" s="3">
        <f t="shared" si="25"/>
        <v>8.6580000000000004E-2</v>
      </c>
      <c r="I70" s="3">
        <f t="shared" si="25"/>
        <v>0.13047999999999998</v>
      </c>
      <c r="J70" s="3">
        <f t="shared" si="25"/>
        <v>0.11779999999999999</v>
      </c>
      <c r="K70" s="3">
        <f t="shared" si="25"/>
        <v>0.11560999999999999</v>
      </c>
    </row>
    <row r="71" spans="6:11" ht="15.75" customHeight="1" x14ac:dyDescent="0.2">
      <c r="K71" s="28">
        <f>AVERAGE(G70:K70)</f>
        <v>0.10792199999999999</v>
      </c>
    </row>
    <row r="72" spans="6:11" ht="15.75" customHeight="1" x14ac:dyDescent="0.2">
      <c r="F72" s="1"/>
      <c r="G72" s="1"/>
      <c r="I72" s="1"/>
      <c r="J72" s="1"/>
    </row>
    <row r="73" spans="6:11" ht="15.75" customHeight="1" x14ac:dyDescent="0.2">
      <c r="F73" s="15" t="s">
        <v>4</v>
      </c>
      <c r="G73" s="15">
        <v>2024</v>
      </c>
      <c r="I73" s="15" t="s">
        <v>189</v>
      </c>
      <c r="J73" s="15">
        <v>2024</v>
      </c>
    </row>
    <row r="74" spans="6:11" ht="15.75" customHeight="1" x14ac:dyDescent="0.2">
      <c r="F74" s="1" t="s">
        <v>194</v>
      </c>
      <c r="G74" s="21">
        <f>F62</f>
        <v>18.96</v>
      </c>
      <c r="I74" s="1" t="s">
        <v>195</v>
      </c>
      <c r="J74" s="1">
        <v>48.53</v>
      </c>
    </row>
    <row r="75" spans="6:11" ht="15.75" customHeight="1" x14ac:dyDescent="0.2">
      <c r="F75" s="1" t="s">
        <v>196</v>
      </c>
      <c r="G75" s="9">
        <f ca="1">G74/SUM(G74,J75)</f>
        <v>6.9017458577694327E-2</v>
      </c>
      <c r="I75" s="1" t="s">
        <v>189</v>
      </c>
      <c r="J75" s="1">
        <f ca="1">IFERROR(__xludf.DUMMYFUNCTION("J74*googlefinance(""abeo"")"),255.7531)</f>
        <v>255.75309999999999</v>
      </c>
    </row>
    <row r="76" spans="6:11" ht="15.75" customHeight="1" x14ac:dyDescent="0.2">
      <c r="F76" s="1" t="s">
        <v>197</v>
      </c>
      <c r="G76" s="25">
        <v>0.13500000000000001</v>
      </c>
      <c r="I76" s="1" t="s">
        <v>198</v>
      </c>
      <c r="J76" s="9">
        <f ca="1">J75/SUM(J75,G74)</f>
        <v>0.93098254142230563</v>
      </c>
    </row>
    <row r="77" spans="6:11" ht="15.75" customHeight="1" x14ac:dyDescent="0.2">
      <c r="F77" s="1" t="s">
        <v>199</v>
      </c>
      <c r="G77" s="3">
        <f>G76</f>
        <v>0.13500000000000001</v>
      </c>
      <c r="I77" s="1" t="s">
        <v>200</v>
      </c>
      <c r="J77" s="3">
        <f>K71</f>
        <v>0.10792199999999999</v>
      </c>
    </row>
    <row r="78" spans="6:11" ht="15.75" customHeight="1" x14ac:dyDescent="0.2">
      <c r="F78" s="5" t="s">
        <v>188</v>
      </c>
      <c r="G78" s="12">
        <f ca="1">G75*G76+J77*J76</f>
        <v>0.10979085474336679</v>
      </c>
    </row>
    <row r="79" spans="6:11" ht="15.75" customHeight="1" x14ac:dyDescent="0.2">
      <c r="F79" s="1" t="s">
        <v>201</v>
      </c>
      <c r="G79" s="29">
        <v>0.15</v>
      </c>
    </row>
    <row r="80" spans="6:11" ht="15.75" customHeight="1" x14ac:dyDescent="0.2">
      <c r="F80" s="1" t="s">
        <v>202</v>
      </c>
      <c r="G80" s="29">
        <v>0.2</v>
      </c>
      <c r="H80" s="5"/>
      <c r="I80" s="5"/>
      <c r="J80" s="5"/>
      <c r="K80" s="5"/>
    </row>
    <row r="82" spans="6:24" ht="15.75" customHeight="1" x14ac:dyDescent="0.2">
      <c r="F82" s="21" t="s">
        <v>203</v>
      </c>
      <c r="G82" s="8">
        <v>2025</v>
      </c>
      <c r="H82" s="8">
        <f t="shared" ref="H82:X82" si="26">G82+1</f>
        <v>2026</v>
      </c>
      <c r="I82" s="8">
        <f t="shared" si="26"/>
        <v>2027</v>
      </c>
      <c r="J82" s="8">
        <f t="shared" si="26"/>
        <v>2028</v>
      </c>
      <c r="K82" s="8">
        <f t="shared" si="26"/>
        <v>2029</v>
      </c>
      <c r="L82" s="8">
        <f t="shared" si="26"/>
        <v>2030</v>
      </c>
      <c r="M82" s="8">
        <f t="shared" si="26"/>
        <v>2031</v>
      </c>
      <c r="N82" s="8">
        <f t="shared" si="26"/>
        <v>2032</v>
      </c>
      <c r="O82" s="8">
        <f t="shared" si="26"/>
        <v>2033</v>
      </c>
      <c r="P82" s="8">
        <f t="shared" si="26"/>
        <v>2034</v>
      </c>
      <c r="Q82" s="8">
        <f t="shared" si="26"/>
        <v>2035</v>
      </c>
      <c r="R82" s="8">
        <f t="shared" si="26"/>
        <v>2036</v>
      </c>
      <c r="S82" s="8">
        <f t="shared" si="26"/>
        <v>2037</v>
      </c>
      <c r="T82" s="8">
        <f t="shared" si="26"/>
        <v>2038</v>
      </c>
      <c r="U82" s="8">
        <f t="shared" si="26"/>
        <v>2039</v>
      </c>
      <c r="V82" s="8">
        <f t="shared" si="26"/>
        <v>2040</v>
      </c>
      <c r="W82" s="8">
        <f t="shared" si="26"/>
        <v>2041</v>
      </c>
      <c r="X82" s="8">
        <f t="shared" si="26"/>
        <v>2042</v>
      </c>
    </row>
    <row r="83" spans="6:24" ht="15.75" customHeight="1" x14ac:dyDescent="0.2">
      <c r="F83" s="21" t="s">
        <v>204</v>
      </c>
      <c r="G83" s="9">
        <f t="shared" ref="G83:G85" ca="1" si="27">G$60/((1+$G78)^(G$82-2024))</f>
        <v>-10.193362066058794</v>
      </c>
      <c r="H83" s="9">
        <f t="shared" ref="H83:X83" ca="1" si="28">H60/((1+$G$78)^(H82-2024))</f>
        <v>57.744914033225236</v>
      </c>
      <c r="I83" s="9">
        <f t="shared" ca="1" si="28"/>
        <v>114.67663107072779</v>
      </c>
      <c r="J83" s="9">
        <f t="shared" ca="1" si="28"/>
        <v>89.696601584856765</v>
      </c>
      <c r="K83" s="9">
        <f t="shared" ca="1" si="28"/>
        <v>76.753568036182372</v>
      </c>
      <c r="L83" s="9">
        <f t="shared" ca="1" si="28"/>
        <v>70.565007353843583</v>
      </c>
      <c r="M83" s="9">
        <f t="shared" ca="1" si="28"/>
        <v>64.875032101199068</v>
      </c>
      <c r="N83" s="9">
        <f t="shared" ca="1" si="28"/>
        <v>59.643512313096934</v>
      </c>
      <c r="O83" s="9">
        <f t="shared" ca="1" si="28"/>
        <v>40.48183258273869</v>
      </c>
      <c r="P83" s="9">
        <f t="shared" ca="1" si="28"/>
        <v>8.6898501809462765</v>
      </c>
      <c r="Q83" s="9">
        <f t="shared" ca="1" si="28"/>
        <v>7.9994902612681145</v>
      </c>
      <c r="R83" s="9">
        <f t="shared" ca="1" si="28"/>
        <v>7.3637277673407562</v>
      </c>
      <c r="S83" s="9">
        <f t="shared" ca="1" si="28"/>
        <v>6.778269803679045</v>
      </c>
      <c r="T83" s="9">
        <f t="shared" ca="1" si="28"/>
        <v>6.2391584904563606</v>
      </c>
      <c r="U83" s="9">
        <f t="shared" ca="1" si="28"/>
        <v>5.7427450762580055</v>
      </c>
      <c r="V83" s="9">
        <f t="shared" ca="1" si="28"/>
        <v>5.2856660248048799</v>
      </c>
      <c r="W83" s="9">
        <f t="shared" ca="1" si="28"/>
        <v>4.8648209278598928</v>
      </c>
      <c r="X83" s="9">
        <f t="shared" ca="1" si="28"/>
        <v>4.4773521073072589</v>
      </c>
    </row>
    <row r="84" spans="6:24" ht="15.75" customHeight="1" x14ac:dyDescent="0.2">
      <c r="F84" s="21" t="s">
        <v>205</v>
      </c>
      <c r="G84" s="9">
        <f t="shared" si="27"/>
        <v>-9.8369565217391308</v>
      </c>
      <c r="H84" s="9">
        <f t="shared" ref="H84:X84" si="29">H$60/((1+$G79)^(H$82-2024))</f>
        <v>53.777466918714573</v>
      </c>
      <c r="I84" s="9">
        <f t="shared" si="29"/>
        <v>103.06348647982249</v>
      </c>
      <c r="J84" s="9">
        <f t="shared" si="29"/>
        <v>77.794553793046788</v>
      </c>
      <c r="K84" s="9">
        <f t="shared" si="29"/>
        <v>64.241412335023185</v>
      </c>
      <c r="L84" s="9">
        <f t="shared" si="29"/>
        <v>56.996632740117896</v>
      </c>
      <c r="M84" s="9">
        <f t="shared" si="29"/>
        <v>50.568572607614534</v>
      </c>
      <c r="N84" s="9">
        <f t="shared" si="29"/>
        <v>44.865201340316318</v>
      </c>
      <c r="O84" s="9">
        <f t="shared" si="29"/>
        <v>29.386636191043781</v>
      </c>
      <c r="P84" s="9">
        <f t="shared" si="29"/>
        <v>6.0875887002755471</v>
      </c>
      <c r="Q84" s="9">
        <f t="shared" si="29"/>
        <v>5.408024228283419</v>
      </c>
      <c r="R84" s="9">
        <f t="shared" si="29"/>
        <v>4.804158645006674</v>
      </c>
      <c r="S84" s="9">
        <f t="shared" si="29"/>
        <v>4.2675809599254562</v>
      </c>
      <c r="T84" s="9">
        <f t="shared" si="29"/>
        <v>3.7908119107750675</v>
      </c>
      <c r="U84" s="9">
        <f t="shared" si="29"/>
        <v>3.3672011263565356</v>
      </c>
      <c r="V84" s="9">
        <f t="shared" si="29"/>
        <v>2.9908355898190266</v>
      </c>
      <c r="W84" s="9">
        <f t="shared" si="29"/>
        <v>2.6564581673088328</v>
      </c>
      <c r="X84" s="9">
        <f t="shared" si="29"/>
        <v>2.3593951009777037</v>
      </c>
    </row>
    <row r="85" spans="6:24" ht="15.75" customHeight="1" x14ac:dyDescent="0.2">
      <c r="F85" s="21" t="s">
        <v>206</v>
      </c>
      <c r="G85" s="9">
        <f t="shared" si="27"/>
        <v>-9.4270833333333339</v>
      </c>
      <c r="H85" s="9">
        <f t="shared" ref="H85:X85" si="30">H$60/((1+$G80)^(H$82-2024))</f>
        <v>49.389375000000008</v>
      </c>
      <c r="I85" s="9">
        <f t="shared" si="30"/>
        <v>90.70988425925924</v>
      </c>
      <c r="J85" s="9">
        <f t="shared" si="30"/>
        <v>65.616879243827157</v>
      </c>
      <c r="K85" s="9">
        <f t="shared" si="30"/>
        <v>51.927576210133751</v>
      </c>
      <c r="L85" s="9">
        <f t="shared" si="30"/>
        <v>44.151835697680902</v>
      </c>
      <c r="M85" s="9">
        <f t="shared" si="30"/>
        <v>37.540223608918097</v>
      </c>
      <c r="N85" s="9">
        <f t="shared" si="30"/>
        <v>31.918492789154847</v>
      </c>
      <c r="O85" s="9">
        <f t="shared" si="30"/>
        <v>20.035455717737655</v>
      </c>
      <c r="P85" s="9">
        <f t="shared" si="30"/>
        <v>3.977509680339681</v>
      </c>
      <c r="Q85" s="9">
        <f t="shared" si="30"/>
        <v>3.3862667477183894</v>
      </c>
      <c r="R85" s="9">
        <f t="shared" si="30"/>
        <v>2.8828130017520164</v>
      </c>
      <c r="S85" s="9">
        <f t="shared" si="30"/>
        <v>2.4541296066487011</v>
      </c>
      <c r="T85" s="9">
        <f t="shared" si="30"/>
        <v>2.089125628284302</v>
      </c>
      <c r="U85" s="9">
        <f t="shared" si="30"/>
        <v>1.7783530029024119</v>
      </c>
      <c r="V85" s="9">
        <f t="shared" si="30"/>
        <v>1.5137635681843464</v>
      </c>
      <c r="W85" s="9">
        <f t="shared" si="30"/>
        <v>1.2885019627211074</v>
      </c>
      <c r="X85" s="9">
        <f t="shared" si="30"/>
        <v>1.0967291097832859</v>
      </c>
    </row>
    <row r="86" spans="6:24" ht="15.75" customHeight="1" x14ac:dyDescent="0.2">
      <c r="I86" s="1"/>
    </row>
    <row r="87" spans="6:24" ht="15.75" customHeight="1" x14ac:dyDescent="0.2">
      <c r="F87" s="21" t="s">
        <v>4</v>
      </c>
      <c r="G87" s="1">
        <v>18.96</v>
      </c>
      <c r="I87" s="1"/>
    </row>
    <row r="88" spans="6:24" ht="15.75" customHeight="1" x14ac:dyDescent="0.2">
      <c r="F88" s="21" t="s">
        <v>207</v>
      </c>
      <c r="G88" s="1">
        <v>97.72</v>
      </c>
      <c r="H88" s="1"/>
      <c r="I88" s="1"/>
      <c r="J88" s="1"/>
    </row>
    <row r="89" spans="6:24" ht="15.75" customHeight="1" x14ac:dyDescent="0.2">
      <c r="H89" s="1"/>
    </row>
    <row r="90" spans="6:24" ht="15.75" customHeight="1" x14ac:dyDescent="0.2">
      <c r="F90" s="41"/>
      <c r="G90" s="15" t="s">
        <v>208</v>
      </c>
      <c r="H90" s="15" t="s">
        <v>209</v>
      </c>
    </row>
    <row r="91" spans="6:24" ht="15.75" customHeight="1" x14ac:dyDescent="0.2">
      <c r="F91" s="21" t="s">
        <v>204</v>
      </c>
      <c r="G91" s="30">
        <f t="shared" ref="G91:G93" ca="1" si="31">SUM(G83:X83)+$G$87-$G$88</f>
        <v>542.92481764973206</v>
      </c>
      <c r="H91" s="30">
        <f t="shared" ref="H91:H93" ca="1" si="32">G91/48.5</f>
        <v>11.194326137107877</v>
      </c>
    </row>
    <row r="92" spans="6:24" ht="15.75" customHeight="1" x14ac:dyDescent="0.2">
      <c r="F92" s="21" t="s">
        <v>205</v>
      </c>
      <c r="G92" s="30">
        <f t="shared" si="31"/>
        <v>427.82906031268863</v>
      </c>
      <c r="H92" s="30">
        <f t="shared" si="32"/>
        <v>8.8212177384059505</v>
      </c>
    </row>
    <row r="93" spans="6:24" ht="15.75" customHeight="1" x14ac:dyDescent="0.2">
      <c r="F93" s="21" t="s">
        <v>206</v>
      </c>
      <c r="G93" s="30">
        <f t="shared" si="31"/>
        <v>323.56983150171243</v>
      </c>
      <c r="H93" s="30">
        <f t="shared" si="32"/>
        <v>6.671542917561081</v>
      </c>
    </row>
    <row r="94" spans="6:24" ht="15.75" customHeight="1" x14ac:dyDescent="0.2">
      <c r="F94" s="21"/>
      <c r="G94" s="30"/>
    </row>
    <row r="95" spans="6:24" ht="15.75" customHeight="1" x14ac:dyDescent="0.2">
      <c r="F95" s="1"/>
      <c r="G95" s="30"/>
    </row>
    <row r="96" spans="6:24" ht="15.75" customHeight="1" x14ac:dyDescent="0.2">
      <c r="F96" s="1" t="s">
        <v>210</v>
      </c>
      <c r="G96" s="30" t="s">
        <v>211</v>
      </c>
      <c r="H96" s="1" t="s">
        <v>212</v>
      </c>
    </row>
    <row r="97" spans="6:9" ht="15.75" customHeight="1" x14ac:dyDescent="0.2">
      <c r="F97" s="21" t="s">
        <v>213</v>
      </c>
      <c r="G97" s="30">
        <f t="shared" ref="G97:G99" ca="1" si="33">G91</f>
        <v>542.92481764973206</v>
      </c>
      <c r="H97" s="9">
        <f ca="1">G97/MAX(G39:X39)</f>
        <v>2.1290483163381864</v>
      </c>
    </row>
    <row r="98" spans="6:9" ht="15.75" customHeight="1" x14ac:dyDescent="0.2">
      <c r="F98" s="21" t="s">
        <v>205</v>
      </c>
      <c r="G98" s="30">
        <f t="shared" si="33"/>
        <v>427.82906031268863</v>
      </c>
      <c r="H98" s="9">
        <f>G98/MAX(G39:X39)</f>
        <v>1.6777069511803475</v>
      </c>
    </row>
    <row r="99" spans="6:9" ht="15.75" customHeight="1" x14ac:dyDescent="0.2">
      <c r="F99" s="21" t="s">
        <v>206</v>
      </c>
      <c r="G99" s="30">
        <f t="shared" si="33"/>
        <v>323.56983150171243</v>
      </c>
      <c r="H99" s="9">
        <f>G99/MAX(G39:X39)</f>
        <v>1.2688604067847062</v>
      </c>
    </row>
    <row r="102" spans="6:9" ht="15.75" customHeight="1" x14ac:dyDescent="0.2">
      <c r="F102" s="7" t="s">
        <v>214</v>
      </c>
    </row>
    <row r="104" spans="6:9" ht="15.75" customHeight="1" x14ac:dyDescent="0.2">
      <c r="F104" s="2"/>
    </row>
    <row r="105" spans="6:9" ht="15.75" customHeight="1" x14ac:dyDescent="0.2">
      <c r="F105" s="2" t="s">
        <v>215</v>
      </c>
      <c r="G105" s="1">
        <f>80-19</f>
        <v>61</v>
      </c>
    </row>
    <row r="106" spans="6:9" ht="15.75" customHeight="1" x14ac:dyDescent="0.2">
      <c r="F106" s="2" t="s">
        <v>216</v>
      </c>
      <c r="G106" s="1">
        <f>48.53</f>
        <v>48.53</v>
      </c>
    </row>
    <row r="107" spans="6:9" ht="15.75" customHeight="1" x14ac:dyDescent="0.2">
      <c r="F107" s="31" t="s">
        <v>217</v>
      </c>
      <c r="G107" s="1">
        <f ca="1">IFERROR(__xludf.DUMMYFUNCTION("googlefinance(""ABEO"") "),5.27)</f>
        <v>5.27</v>
      </c>
    </row>
    <row r="108" spans="6:9" ht="15.75" customHeight="1" x14ac:dyDescent="0.2">
      <c r="F108" s="1"/>
      <c r="G108" s="1"/>
      <c r="H108" s="1"/>
      <c r="I108" s="1"/>
    </row>
    <row r="109" spans="6:9" ht="12.75" x14ac:dyDescent="0.2">
      <c r="F109" s="32"/>
      <c r="G109" s="33" t="s">
        <v>208</v>
      </c>
      <c r="H109" s="33" t="s">
        <v>209</v>
      </c>
      <c r="I109" s="33" t="s">
        <v>218</v>
      </c>
    </row>
    <row r="110" spans="6:9" ht="12.75" x14ac:dyDescent="0.2">
      <c r="F110" s="1" t="s">
        <v>213</v>
      </c>
      <c r="G110" s="30">
        <v>549.15244815019491</v>
      </c>
      <c r="H110" s="30">
        <v>11.322730889694741</v>
      </c>
      <c r="I110" s="3">
        <f t="shared" ref="I110:I112" ca="1" si="34">($G$107-$G$105/$G$106)/(H110-$G$105/$G$106)</f>
        <v>0.39868216499075843</v>
      </c>
    </row>
    <row r="111" spans="6:9" ht="12.75" x14ac:dyDescent="0.2">
      <c r="F111" s="1" t="s">
        <v>205</v>
      </c>
      <c r="G111" s="30">
        <v>427.82906031268863</v>
      </c>
      <c r="H111" s="30">
        <v>8.8212177384059505</v>
      </c>
      <c r="I111" s="3">
        <f t="shared" ca="1" si="34"/>
        <v>0.53052695176707465</v>
      </c>
    </row>
    <row r="112" spans="6:9" ht="12.75" x14ac:dyDescent="0.2">
      <c r="F112" s="1" t="s">
        <v>206</v>
      </c>
      <c r="G112" s="30">
        <v>323.56983150171254</v>
      </c>
      <c r="H112" s="30">
        <v>6.6715429175610836</v>
      </c>
      <c r="I112" s="3">
        <f t="shared" ca="1" si="34"/>
        <v>0.74115430399817639</v>
      </c>
    </row>
  </sheetData>
  <hyperlinks>
    <hyperlink ref="B6" r:id="rId1" xr:uid="{00000000-0004-0000-0100-000000000000}"/>
    <hyperlink ref="B7" r:id="rId2" xr:uid="{00000000-0004-0000-0100-000001000000}"/>
    <hyperlink ref="B9"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130"/>
  <sheetViews>
    <sheetView showGridLines="0" topLeftCell="A71" zoomScale="110" zoomScaleNormal="110" workbookViewId="0">
      <selection activeCell="B71" sqref="B71"/>
    </sheetView>
  </sheetViews>
  <sheetFormatPr defaultColWidth="12.42578125" defaultRowHeight="15.75" customHeight="1" x14ac:dyDescent="0.2"/>
  <cols>
    <col min="2" max="2" width="22.42578125" customWidth="1"/>
    <col min="3" max="3" width="14.7109375" customWidth="1"/>
    <col min="21" max="21" width="13.7109375" customWidth="1"/>
  </cols>
  <sheetData>
    <row r="1" spans="1:15" ht="15.75" customHeight="1" x14ac:dyDescent="0.2">
      <c r="A1" s="7" t="s">
        <v>102</v>
      </c>
    </row>
    <row r="3" spans="1:15" ht="15.75" customHeight="1" x14ac:dyDescent="0.2">
      <c r="B3" s="8" t="s">
        <v>103</v>
      </c>
      <c r="C3" s="8" t="s">
        <v>104</v>
      </c>
      <c r="D3" s="8" t="s">
        <v>105</v>
      </c>
      <c r="E3" s="8" t="s">
        <v>106</v>
      </c>
      <c r="F3" s="8" t="s">
        <v>107</v>
      </c>
      <c r="G3" s="8" t="s">
        <v>19</v>
      </c>
    </row>
    <row r="4" spans="1:15" ht="15.75" customHeight="1" x14ac:dyDescent="0.2">
      <c r="B4" s="1" t="s">
        <v>108</v>
      </c>
      <c r="C4" s="9">
        <f>12562/340</f>
        <v>36.94705882352941</v>
      </c>
      <c r="D4" s="1">
        <v>95</v>
      </c>
      <c r="E4" s="1">
        <v>340</v>
      </c>
      <c r="F4" s="1">
        <f>C4*E4</f>
        <v>12562</v>
      </c>
      <c r="G4" s="1" t="s">
        <v>109</v>
      </c>
    </row>
    <row r="5" spans="1:15" ht="15.75" customHeight="1" x14ac:dyDescent="0.2">
      <c r="B5" s="1" t="s">
        <v>110</v>
      </c>
      <c r="C5" s="9">
        <f>750/E5</f>
        <v>2.2058823529411766</v>
      </c>
      <c r="D5" s="10" t="s">
        <v>111</v>
      </c>
      <c r="E5" s="1">
        <v>340</v>
      </c>
      <c r="F5" s="1">
        <v>750</v>
      </c>
      <c r="G5" s="1" t="s">
        <v>112</v>
      </c>
    </row>
    <row r="6" spans="1:15" ht="15.75" customHeight="1" x14ac:dyDescent="0.2">
      <c r="A6" s="10" t="s">
        <v>31</v>
      </c>
      <c r="B6" s="6" t="s">
        <v>113</v>
      </c>
      <c r="C6" s="1">
        <v>1.35</v>
      </c>
      <c r="D6" s="1">
        <v>3.05</v>
      </c>
      <c r="E6" s="1">
        <v>340</v>
      </c>
      <c r="F6" s="1">
        <f>C6*E6</f>
        <v>459.00000000000006</v>
      </c>
      <c r="G6" s="1" t="s">
        <v>114</v>
      </c>
    </row>
    <row r="7" spans="1:15" ht="15.75" customHeight="1" x14ac:dyDescent="0.2">
      <c r="A7" s="10" t="s">
        <v>31</v>
      </c>
      <c r="B7" s="6" t="s">
        <v>115</v>
      </c>
      <c r="C7" s="1">
        <v>2.1</v>
      </c>
      <c r="D7" s="1">
        <v>5.5</v>
      </c>
      <c r="E7" s="1">
        <v>340</v>
      </c>
      <c r="F7" s="1">
        <f>E7*C7</f>
        <v>714</v>
      </c>
      <c r="G7" s="1" t="s">
        <v>116</v>
      </c>
    </row>
    <row r="8" spans="1:15" ht="15.75" customHeight="1" x14ac:dyDescent="0.2">
      <c r="A8" s="10"/>
      <c r="B8" s="1" t="s">
        <v>117</v>
      </c>
      <c r="C8" s="5"/>
      <c r="D8" s="1"/>
      <c r="E8" s="1">
        <v>340</v>
      </c>
    </row>
    <row r="9" spans="1:15" ht="15.75" customHeight="1" x14ac:dyDescent="0.2">
      <c r="A9" s="10" t="s">
        <v>31</v>
      </c>
      <c r="B9" s="6" t="s">
        <v>118</v>
      </c>
      <c r="C9" s="5">
        <v>3.3</v>
      </c>
      <c r="D9" s="1">
        <v>8.1</v>
      </c>
      <c r="E9" s="1">
        <v>340</v>
      </c>
      <c r="F9" s="1">
        <f>C9*E9</f>
        <v>1122</v>
      </c>
      <c r="G9" s="1" t="s">
        <v>119</v>
      </c>
    </row>
    <row r="10" spans="1:15" ht="15.75" customHeight="1" x14ac:dyDescent="0.2">
      <c r="B10" s="5" t="s">
        <v>120</v>
      </c>
      <c r="C10" s="11">
        <f t="shared" ref="C10:D10" si="0">AVERAGE(C6:C9)</f>
        <v>2.25</v>
      </c>
      <c r="D10" s="11">
        <f t="shared" si="0"/>
        <v>5.55</v>
      </c>
      <c r="F10" s="11">
        <f>AVERAGE(F6:F9)</f>
        <v>765</v>
      </c>
    </row>
    <row r="11" spans="1:15" ht="15.75" customHeight="1" x14ac:dyDescent="0.2">
      <c r="C11" s="5"/>
      <c r="D11" s="1"/>
    </row>
    <row r="12" spans="1:15" ht="15.75" customHeight="1" x14ac:dyDescent="0.2">
      <c r="B12" s="1" t="s">
        <v>121</v>
      </c>
      <c r="C12" s="12">
        <f>(D10*3.6)/F10</f>
        <v>2.611764705882353E-2</v>
      </c>
      <c r="D12" s="1"/>
    </row>
    <row r="13" spans="1:15" ht="15.75" customHeight="1" x14ac:dyDescent="0.2">
      <c r="B13" s="1" t="s">
        <v>122</v>
      </c>
      <c r="C13" s="13">
        <f>1/C12</f>
        <v>38.288288288288285</v>
      </c>
      <c r="D13" s="1"/>
    </row>
    <row r="14" spans="1:15" ht="15.75" customHeight="1" x14ac:dyDescent="0.2">
      <c r="B14" s="14" t="s">
        <v>123</v>
      </c>
      <c r="C14" s="5"/>
      <c r="D14" s="1"/>
      <c r="I14" s="14"/>
    </row>
    <row r="15" spans="1:15" ht="15.75" customHeight="1" x14ac:dyDescent="0.2">
      <c r="B15" s="5"/>
      <c r="C15" s="5"/>
      <c r="D15" s="1"/>
      <c r="I15" s="14" t="s">
        <v>124</v>
      </c>
    </row>
    <row r="16" spans="1:15" ht="15.75" customHeight="1" x14ac:dyDescent="0.2">
      <c r="B16" s="8" t="s">
        <v>125</v>
      </c>
      <c r="C16" s="8" t="s">
        <v>100</v>
      </c>
      <c r="D16" s="1"/>
      <c r="E16" s="8" t="s">
        <v>219</v>
      </c>
      <c r="F16" s="15"/>
      <c r="H16" s="8" t="s">
        <v>126</v>
      </c>
      <c r="I16" s="8" t="s">
        <v>127</v>
      </c>
      <c r="J16" s="8" t="s">
        <v>128</v>
      </c>
      <c r="K16" s="8" t="s">
        <v>129</v>
      </c>
      <c r="L16" s="8" t="s">
        <v>130</v>
      </c>
      <c r="M16" s="8" t="s">
        <v>131</v>
      </c>
      <c r="N16" s="8" t="s">
        <v>98</v>
      </c>
      <c r="O16" s="8" t="s">
        <v>132</v>
      </c>
    </row>
    <row r="17" spans="1:23" ht="15.75" customHeight="1" x14ac:dyDescent="0.2">
      <c r="B17" s="1" t="s">
        <v>133</v>
      </c>
      <c r="C17" s="1" t="s">
        <v>134</v>
      </c>
      <c r="E17" s="1" t="s">
        <v>2</v>
      </c>
      <c r="F17" s="9">
        <f ca="1">IFERROR(__xludf.DUMMYFUNCTION("googlefinance(""KRYS"",""marketcap"")/1000000"),3953.301208)</f>
        <v>3953.3012079999999</v>
      </c>
      <c r="G17" s="1" t="s">
        <v>135</v>
      </c>
      <c r="H17" s="1" t="s">
        <v>99</v>
      </c>
      <c r="J17" s="1">
        <v>8.6</v>
      </c>
      <c r="K17" s="1">
        <v>42.1</v>
      </c>
      <c r="L17" s="1">
        <v>45.3</v>
      </c>
      <c r="M17" s="1">
        <v>70.3</v>
      </c>
      <c r="N17" s="1">
        <v>83.8</v>
      </c>
      <c r="O17" s="1">
        <v>91.1</v>
      </c>
    </row>
    <row r="18" spans="1:23" ht="15.75" customHeight="1" x14ac:dyDescent="0.2">
      <c r="B18" s="1" t="s">
        <v>136</v>
      </c>
      <c r="C18" s="9">
        <f>91.1 * 4</f>
        <v>364.4</v>
      </c>
      <c r="E18" s="1" t="s">
        <v>137</v>
      </c>
      <c r="F18" s="1">
        <v>597.5</v>
      </c>
      <c r="G18" s="1" t="s">
        <v>135</v>
      </c>
      <c r="H18" s="1" t="s">
        <v>139</v>
      </c>
      <c r="J18" s="9">
        <f t="shared" ref="J18:O18" si="1">J17*1000000/($F$21/4)</f>
        <v>68.690966719492849</v>
      </c>
      <c r="K18" s="9">
        <f t="shared" si="1"/>
        <v>336.26624405705223</v>
      </c>
      <c r="L18" s="9">
        <f t="shared" si="1"/>
        <v>361.82567353407285</v>
      </c>
      <c r="M18" s="9">
        <f t="shared" si="1"/>
        <v>561.5087163232962</v>
      </c>
      <c r="N18" s="9">
        <f t="shared" si="1"/>
        <v>669.33755942947687</v>
      </c>
      <c r="O18" s="9">
        <f t="shared" si="1"/>
        <v>727.64500792393017</v>
      </c>
    </row>
    <row r="19" spans="1:23" ht="15.75" customHeight="1" x14ac:dyDescent="0.2">
      <c r="B19" s="1" t="s">
        <v>140</v>
      </c>
      <c r="C19" s="9">
        <f>C18*1.26</f>
        <v>459.14399999999995</v>
      </c>
      <c r="E19" s="1" t="s">
        <v>101</v>
      </c>
      <c r="F19" s="9">
        <f ca="1">F17-F18</f>
        <v>3355.8012079999999</v>
      </c>
      <c r="G19" s="1" t="s">
        <v>135</v>
      </c>
      <c r="H19" s="1" t="s">
        <v>141</v>
      </c>
      <c r="J19" s="9">
        <f t="shared" ref="J19:O19" si="2">$C$23</f>
        <v>1108.3999999999999</v>
      </c>
      <c r="K19" s="9">
        <f t="shared" si="2"/>
        <v>1108.3999999999999</v>
      </c>
      <c r="L19" s="9">
        <f t="shared" si="2"/>
        <v>1108.3999999999999</v>
      </c>
      <c r="M19" s="9">
        <f t="shared" si="2"/>
        <v>1108.3999999999999</v>
      </c>
      <c r="N19" s="9">
        <f t="shared" si="2"/>
        <v>1108.3999999999999</v>
      </c>
      <c r="O19" s="9">
        <f t="shared" si="2"/>
        <v>1108.3999999999999</v>
      </c>
    </row>
    <row r="20" spans="1:23" ht="15.75" customHeight="1" x14ac:dyDescent="0.2">
      <c r="B20" s="1" t="s">
        <v>142</v>
      </c>
      <c r="C20" s="1">
        <v>631000</v>
      </c>
      <c r="E20" s="1" t="s">
        <v>143</v>
      </c>
      <c r="F20" s="9">
        <f>F21*F22/1000000</f>
        <v>628.27586206896558</v>
      </c>
      <c r="G20" s="1" t="s">
        <v>135</v>
      </c>
      <c r="H20" s="1" t="s">
        <v>144</v>
      </c>
      <c r="J20" s="3">
        <f t="shared" ref="J20:O20" si="3">J18/J19</f>
        <v>6.1973084373414707E-2</v>
      </c>
      <c r="K20" s="3">
        <f t="shared" si="3"/>
        <v>0.30337986652566967</v>
      </c>
      <c r="L20" s="3">
        <f t="shared" si="3"/>
        <v>0.3264396188506612</v>
      </c>
      <c r="M20" s="3">
        <f t="shared" si="3"/>
        <v>0.50659393388965746</v>
      </c>
      <c r="N20" s="3">
        <f t="shared" si="3"/>
        <v>0.6038772640107154</v>
      </c>
      <c r="O20" s="3">
        <f t="shared" si="3"/>
        <v>0.65648232400210238</v>
      </c>
    </row>
    <row r="21" spans="1:23" ht="15.75" customHeight="1" x14ac:dyDescent="0.2">
      <c r="B21" s="1" t="s">
        <v>16</v>
      </c>
      <c r="C21" s="9">
        <f>C19*1000000/C20</f>
        <v>727.64500792393017</v>
      </c>
      <c r="E21" s="16" t="s">
        <v>145</v>
      </c>
      <c r="F21" s="9">
        <f>C18*1000000/C21</f>
        <v>500793.65079365089</v>
      </c>
      <c r="G21" s="1" t="s">
        <v>146</v>
      </c>
      <c r="O21" s="1" t="s">
        <v>147</v>
      </c>
    </row>
    <row r="22" spans="1:23" ht="15.75" customHeight="1" x14ac:dyDescent="0.2">
      <c r="A22" s="14" t="s">
        <v>220</v>
      </c>
      <c r="B22" s="1" t="s">
        <v>148</v>
      </c>
      <c r="C22" s="9">
        <f>C21/0.58</f>
        <v>1254.5603584895348</v>
      </c>
      <c r="D22" s="1" t="s">
        <v>149</v>
      </c>
      <c r="E22" s="16" t="s">
        <v>148</v>
      </c>
      <c r="F22" s="9">
        <f>C22</f>
        <v>1254.5603584895348</v>
      </c>
    </row>
    <row r="23" spans="1:23" ht="15.75" customHeight="1" x14ac:dyDescent="0.2">
      <c r="A23" s="1" t="s">
        <v>221</v>
      </c>
      <c r="B23" s="14" t="s">
        <v>151</v>
      </c>
      <c r="C23" s="17">
        <f>340*3.26</f>
        <v>1108.3999999999999</v>
      </c>
      <c r="E23" s="18" t="s">
        <v>152</v>
      </c>
      <c r="F23" s="19">
        <f ca="1">F19/F20</f>
        <v>5.3412862256860585</v>
      </c>
      <c r="G23" s="1" t="s">
        <v>61</v>
      </c>
    </row>
    <row r="24" spans="1:23" ht="15.75" customHeight="1" x14ac:dyDescent="0.2">
      <c r="E24" s="1" t="s">
        <v>222</v>
      </c>
      <c r="F24" s="9">
        <f ca="1">F19/C18</f>
        <v>9.209114182217343</v>
      </c>
      <c r="G24" s="1" t="s">
        <v>61</v>
      </c>
    </row>
    <row r="25" spans="1:23" ht="15.75" customHeight="1" x14ac:dyDescent="0.2">
      <c r="B25" s="7"/>
    </row>
    <row r="26" spans="1:23" ht="15.75" customHeight="1" x14ac:dyDescent="0.2">
      <c r="A26" s="1" t="s">
        <v>154</v>
      </c>
      <c r="B26" s="35" t="s">
        <v>223</v>
      </c>
    </row>
    <row r="27" spans="1:23" ht="15.75" customHeight="1" x14ac:dyDescent="0.2">
      <c r="Q27" s="1" t="s">
        <v>155</v>
      </c>
    </row>
    <row r="28" spans="1:23" ht="15.75" customHeight="1" x14ac:dyDescent="0.2">
      <c r="B28" s="15"/>
      <c r="C28" s="8">
        <v>2022</v>
      </c>
      <c r="D28" s="8">
        <v>2023</v>
      </c>
      <c r="E28" s="20">
        <v>2024</v>
      </c>
      <c r="F28" s="8">
        <v>2025</v>
      </c>
      <c r="G28" s="8">
        <f t="shared" ref="G28:W28" si="4">F28+1</f>
        <v>2026</v>
      </c>
      <c r="H28" s="8">
        <f t="shared" si="4"/>
        <v>2027</v>
      </c>
      <c r="I28" s="8">
        <f t="shared" si="4"/>
        <v>2028</v>
      </c>
      <c r="J28" s="8">
        <f t="shared" si="4"/>
        <v>2029</v>
      </c>
      <c r="K28" s="8">
        <f t="shared" si="4"/>
        <v>2030</v>
      </c>
      <c r="L28" s="8">
        <f t="shared" si="4"/>
        <v>2031</v>
      </c>
      <c r="M28" s="8">
        <f t="shared" si="4"/>
        <v>2032</v>
      </c>
      <c r="N28" s="8">
        <f t="shared" si="4"/>
        <v>2033</v>
      </c>
      <c r="O28" s="8">
        <f t="shared" si="4"/>
        <v>2034</v>
      </c>
      <c r="P28" s="8">
        <f t="shared" si="4"/>
        <v>2035</v>
      </c>
      <c r="Q28" s="8">
        <f t="shared" si="4"/>
        <v>2036</v>
      </c>
      <c r="R28" s="8">
        <f t="shared" si="4"/>
        <v>2037</v>
      </c>
      <c r="S28" s="8">
        <f t="shared" si="4"/>
        <v>2038</v>
      </c>
      <c r="T28" s="8">
        <f t="shared" si="4"/>
        <v>2039</v>
      </c>
      <c r="U28" s="8">
        <f t="shared" si="4"/>
        <v>2040</v>
      </c>
      <c r="V28" s="8">
        <f t="shared" si="4"/>
        <v>2041</v>
      </c>
      <c r="W28" s="8">
        <f t="shared" si="4"/>
        <v>2042</v>
      </c>
    </row>
    <row r="29" spans="1:23" ht="15.75" customHeight="1" x14ac:dyDescent="0.2">
      <c r="B29" s="1" t="s">
        <v>156</v>
      </c>
      <c r="E29" s="21"/>
      <c r="F29" s="1">
        <v>340</v>
      </c>
      <c r="G29" s="1">
        <v>340</v>
      </c>
      <c r="H29" s="1">
        <v>340</v>
      </c>
      <c r="I29" s="1">
        <v>340</v>
      </c>
      <c r="J29" s="1">
        <v>340</v>
      </c>
      <c r="K29" s="1">
        <v>340</v>
      </c>
      <c r="L29" s="1">
        <v>340</v>
      </c>
      <c r="M29" s="1">
        <v>340</v>
      </c>
      <c r="N29" s="1">
        <v>340</v>
      </c>
      <c r="O29" s="1">
        <v>340</v>
      </c>
      <c r="P29" s="1">
        <v>340</v>
      </c>
      <c r="Q29" s="1">
        <v>340</v>
      </c>
      <c r="R29" s="1">
        <v>340</v>
      </c>
      <c r="S29" s="1">
        <v>340</v>
      </c>
      <c r="T29" s="1">
        <v>340</v>
      </c>
      <c r="U29" s="1">
        <v>340</v>
      </c>
      <c r="V29" s="1">
        <v>340</v>
      </c>
      <c r="W29" s="1">
        <v>340</v>
      </c>
    </row>
    <row r="30" spans="1:23" ht="15.75" customHeight="1" x14ac:dyDescent="0.2">
      <c r="B30" s="1" t="s">
        <v>157</v>
      </c>
      <c r="E30" s="21"/>
      <c r="F30" s="1">
        <f t="shared" ref="F30:W30" si="5">AVERAGE($C$9,$C$7,$C$6)</f>
        <v>2.25</v>
      </c>
      <c r="G30" s="1">
        <f t="shared" si="5"/>
        <v>2.25</v>
      </c>
      <c r="H30" s="1">
        <f t="shared" si="5"/>
        <v>2.25</v>
      </c>
      <c r="I30" s="1">
        <f t="shared" si="5"/>
        <v>2.25</v>
      </c>
      <c r="J30" s="1">
        <f t="shared" si="5"/>
        <v>2.25</v>
      </c>
      <c r="K30" s="1">
        <f t="shared" si="5"/>
        <v>2.25</v>
      </c>
      <c r="L30" s="1">
        <f t="shared" si="5"/>
        <v>2.25</v>
      </c>
      <c r="M30" s="1">
        <f t="shared" si="5"/>
        <v>2.25</v>
      </c>
      <c r="N30" s="1">
        <f t="shared" si="5"/>
        <v>2.25</v>
      </c>
      <c r="O30" s="1">
        <f t="shared" si="5"/>
        <v>2.25</v>
      </c>
      <c r="P30" s="1">
        <f t="shared" si="5"/>
        <v>2.25</v>
      </c>
      <c r="Q30" s="1">
        <f t="shared" si="5"/>
        <v>2.25</v>
      </c>
      <c r="R30" s="1">
        <f t="shared" si="5"/>
        <v>2.25</v>
      </c>
      <c r="S30" s="1">
        <f t="shared" si="5"/>
        <v>2.25</v>
      </c>
      <c r="T30" s="1">
        <f t="shared" si="5"/>
        <v>2.25</v>
      </c>
      <c r="U30" s="1">
        <f t="shared" si="5"/>
        <v>2.25</v>
      </c>
      <c r="V30" s="1">
        <f t="shared" si="5"/>
        <v>2.25</v>
      </c>
      <c r="W30" s="1">
        <f t="shared" si="5"/>
        <v>2.25</v>
      </c>
    </row>
    <row r="31" spans="1:23" ht="15.75" customHeight="1" x14ac:dyDescent="0.2">
      <c r="B31" s="1" t="s">
        <v>159</v>
      </c>
      <c r="E31" s="21"/>
      <c r="F31" s="1">
        <f t="shared" ref="F31:W31" si="6">F29*F30</f>
        <v>765</v>
      </c>
      <c r="G31" s="1">
        <f t="shared" si="6"/>
        <v>765</v>
      </c>
      <c r="H31" s="1">
        <f t="shared" si="6"/>
        <v>765</v>
      </c>
      <c r="I31" s="1">
        <f t="shared" si="6"/>
        <v>765</v>
      </c>
      <c r="J31" s="1">
        <f t="shared" si="6"/>
        <v>765</v>
      </c>
      <c r="K31" s="1">
        <f t="shared" si="6"/>
        <v>765</v>
      </c>
      <c r="L31" s="1">
        <f t="shared" si="6"/>
        <v>765</v>
      </c>
      <c r="M31" s="1">
        <f t="shared" si="6"/>
        <v>765</v>
      </c>
      <c r="N31" s="1">
        <f t="shared" si="6"/>
        <v>765</v>
      </c>
      <c r="O31" s="1">
        <f t="shared" si="6"/>
        <v>765</v>
      </c>
      <c r="P31" s="1">
        <f t="shared" si="6"/>
        <v>765</v>
      </c>
      <c r="Q31" s="1">
        <f t="shared" si="6"/>
        <v>765</v>
      </c>
      <c r="R31" s="1">
        <f t="shared" si="6"/>
        <v>765</v>
      </c>
      <c r="S31" s="1">
        <f t="shared" si="6"/>
        <v>765</v>
      </c>
      <c r="T31" s="1">
        <f t="shared" si="6"/>
        <v>765</v>
      </c>
      <c r="U31" s="1">
        <f t="shared" si="6"/>
        <v>765</v>
      </c>
      <c r="V31" s="1">
        <f t="shared" si="6"/>
        <v>765</v>
      </c>
      <c r="W31" s="1">
        <f t="shared" si="6"/>
        <v>765</v>
      </c>
    </row>
    <row r="32" spans="1:23" ht="15.75" customHeight="1" x14ac:dyDescent="0.2">
      <c r="B32" s="1" t="s">
        <v>160</v>
      </c>
      <c r="E32" s="21"/>
      <c r="F32" s="1">
        <v>3.6</v>
      </c>
      <c r="G32" s="1">
        <v>3.6</v>
      </c>
      <c r="H32" s="1">
        <v>3.6</v>
      </c>
      <c r="I32" s="1">
        <v>3.6</v>
      </c>
      <c r="J32" s="1">
        <v>3.6</v>
      </c>
      <c r="K32" s="1">
        <v>3.6</v>
      </c>
      <c r="L32" s="1">
        <v>3.6</v>
      </c>
      <c r="M32" s="1">
        <v>3.6</v>
      </c>
      <c r="N32" s="1">
        <v>3.6</v>
      </c>
      <c r="O32" s="1">
        <v>3.6</v>
      </c>
      <c r="P32" s="1">
        <v>3.6</v>
      </c>
      <c r="Q32" s="1">
        <v>3.6</v>
      </c>
      <c r="R32" s="1">
        <v>3.6</v>
      </c>
      <c r="S32" s="1">
        <v>3.6</v>
      </c>
      <c r="T32" s="1">
        <v>3.6</v>
      </c>
      <c r="U32" s="1">
        <v>3.6</v>
      </c>
      <c r="V32" s="1">
        <v>3.6</v>
      </c>
      <c r="W32" s="1">
        <v>3.6</v>
      </c>
    </row>
    <row r="33" spans="1:23" ht="15.75" customHeight="1" x14ac:dyDescent="0.2">
      <c r="B33" s="1" t="s">
        <v>105</v>
      </c>
      <c r="E33" s="21"/>
      <c r="F33" s="9">
        <v>5.55</v>
      </c>
      <c r="G33" s="9">
        <v>5.55</v>
      </c>
      <c r="H33" s="9">
        <v>5.55</v>
      </c>
      <c r="I33" s="9">
        <v>5.55</v>
      </c>
      <c r="J33" s="9">
        <v>5.55</v>
      </c>
      <c r="K33" s="9">
        <v>5.55</v>
      </c>
      <c r="L33" s="9">
        <v>5.55</v>
      </c>
      <c r="M33" s="9">
        <v>5.55</v>
      </c>
      <c r="N33" s="9">
        <v>5.55</v>
      </c>
      <c r="O33" s="9">
        <v>5.55</v>
      </c>
      <c r="P33" s="9">
        <v>5.55</v>
      </c>
      <c r="Q33" s="9">
        <v>5.55</v>
      </c>
      <c r="R33" s="9">
        <v>5.55</v>
      </c>
      <c r="S33" s="9">
        <v>5.55</v>
      </c>
      <c r="T33" s="9">
        <v>5.55</v>
      </c>
      <c r="U33" s="9">
        <v>5.55</v>
      </c>
      <c r="V33" s="9">
        <v>5.55</v>
      </c>
      <c r="W33" s="9">
        <v>5.55</v>
      </c>
    </row>
    <row r="34" spans="1:23" ht="15.75" customHeight="1" x14ac:dyDescent="0.2">
      <c r="B34" s="1" t="s">
        <v>161</v>
      </c>
      <c r="E34" s="21"/>
      <c r="F34" s="1">
        <f t="shared" ref="F34:W34" si="7">F33*F32</f>
        <v>19.98</v>
      </c>
      <c r="G34" s="1">
        <f t="shared" si="7"/>
        <v>19.98</v>
      </c>
      <c r="H34" s="1">
        <f t="shared" si="7"/>
        <v>19.98</v>
      </c>
      <c r="I34" s="1">
        <f t="shared" si="7"/>
        <v>19.98</v>
      </c>
      <c r="J34" s="1">
        <f t="shared" si="7"/>
        <v>19.98</v>
      </c>
      <c r="K34" s="1">
        <f t="shared" si="7"/>
        <v>19.98</v>
      </c>
      <c r="L34" s="1">
        <f t="shared" si="7"/>
        <v>19.98</v>
      </c>
      <c r="M34" s="1">
        <f t="shared" si="7"/>
        <v>19.98</v>
      </c>
      <c r="N34" s="1">
        <f t="shared" si="7"/>
        <v>19.98</v>
      </c>
      <c r="O34" s="1">
        <f t="shared" si="7"/>
        <v>19.98</v>
      </c>
      <c r="P34" s="1">
        <f t="shared" si="7"/>
        <v>19.98</v>
      </c>
      <c r="Q34" s="1">
        <f t="shared" si="7"/>
        <v>19.98</v>
      </c>
      <c r="R34" s="1">
        <f t="shared" si="7"/>
        <v>19.98</v>
      </c>
      <c r="S34" s="1">
        <f t="shared" si="7"/>
        <v>19.98</v>
      </c>
      <c r="T34" s="1">
        <f t="shared" si="7"/>
        <v>19.98</v>
      </c>
      <c r="U34" s="1">
        <f t="shared" si="7"/>
        <v>19.98</v>
      </c>
      <c r="V34" s="1">
        <f t="shared" si="7"/>
        <v>19.98</v>
      </c>
      <c r="W34" s="1">
        <f t="shared" si="7"/>
        <v>19.98</v>
      </c>
    </row>
    <row r="35" spans="1:23" ht="15.75" customHeight="1" x14ac:dyDescent="0.2">
      <c r="B35" s="1" t="s">
        <v>162</v>
      </c>
      <c r="E35" s="21"/>
      <c r="F35" s="9">
        <f>F31*0.8</f>
        <v>612</v>
      </c>
      <c r="G35" s="9">
        <f>F35-F36+G34*0.8</f>
        <v>617.98400000000004</v>
      </c>
      <c r="H35" s="9">
        <f t="shared" ref="H35:W35" si="8">G35-G36+H34*0.8</f>
        <v>583.96800000000007</v>
      </c>
      <c r="I35" s="9">
        <f t="shared" si="8"/>
        <v>479.95200000000006</v>
      </c>
      <c r="J35" s="9">
        <f t="shared" si="8"/>
        <v>375.93600000000004</v>
      </c>
      <c r="K35" s="9">
        <f t="shared" si="8"/>
        <v>271.92</v>
      </c>
      <c r="L35" s="9">
        <f t="shared" si="8"/>
        <v>15.984000000000002</v>
      </c>
      <c r="M35" s="9">
        <f t="shared" si="8"/>
        <v>15.984000000000002</v>
      </c>
      <c r="N35" s="9">
        <f t="shared" si="8"/>
        <v>15.984000000000002</v>
      </c>
      <c r="O35" s="9">
        <f t="shared" si="8"/>
        <v>15.984000000000002</v>
      </c>
      <c r="P35" s="9">
        <f t="shared" si="8"/>
        <v>15.984000000000002</v>
      </c>
      <c r="Q35" s="9">
        <f t="shared" si="8"/>
        <v>15.984000000000002</v>
      </c>
      <c r="R35" s="9">
        <f t="shared" si="8"/>
        <v>15.984000000000002</v>
      </c>
      <c r="S35" s="9">
        <f t="shared" si="8"/>
        <v>15.984000000000002</v>
      </c>
      <c r="T35" s="9">
        <f t="shared" si="8"/>
        <v>15.984000000000002</v>
      </c>
      <c r="U35" s="9">
        <f t="shared" si="8"/>
        <v>15.984000000000002</v>
      </c>
      <c r="V35" s="9">
        <f t="shared" si="8"/>
        <v>15.984000000000002</v>
      </c>
      <c r="W35" s="9">
        <f t="shared" si="8"/>
        <v>15.984000000000002</v>
      </c>
    </row>
    <row r="36" spans="1:23" ht="15.75" customHeight="1" x14ac:dyDescent="0.2">
      <c r="B36" s="1" t="s">
        <v>164</v>
      </c>
      <c r="E36" s="21"/>
      <c r="F36" s="9">
        <v>10</v>
      </c>
      <c r="G36" s="9">
        <v>50</v>
      </c>
      <c r="H36" s="9">
        <v>120</v>
      </c>
      <c r="I36" s="9">
        <v>120</v>
      </c>
      <c r="J36" s="9">
        <v>120</v>
      </c>
      <c r="K36" s="9">
        <f>K35</f>
        <v>271.92</v>
      </c>
      <c r="L36" s="9">
        <f t="shared" ref="L36:W36" si="9">L35</f>
        <v>15.984000000000002</v>
      </c>
      <c r="M36" s="9">
        <f t="shared" si="9"/>
        <v>15.984000000000002</v>
      </c>
      <c r="N36" s="9">
        <f t="shared" si="9"/>
        <v>15.984000000000002</v>
      </c>
      <c r="O36" s="9">
        <f t="shared" si="9"/>
        <v>15.984000000000002</v>
      </c>
      <c r="P36" s="9">
        <f t="shared" si="9"/>
        <v>15.984000000000002</v>
      </c>
      <c r="Q36" s="9">
        <f t="shared" si="9"/>
        <v>15.984000000000002</v>
      </c>
      <c r="R36" s="9">
        <f t="shared" si="9"/>
        <v>15.984000000000002</v>
      </c>
      <c r="S36" s="9">
        <f t="shared" si="9"/>
        <v>15.984000000000002</v>
      </c>
      <c r="T36" s="9">
        <f t="shared" si="9"/>
        <v>15.984000000000002</v>
      </c>
      <c r="U36" s="9">
        <f t="shared" si="9"/>
        <v>15.984000000000002</v>
      </c>
      <c r="V36" s="9">
        <f t="shared" si="9"/>
        <v>15.984000000000002</v>
      </c>
      <c r="W36" s="9">
        <f t="shared" si="9"/>
        <v>15.984000000000002</v>
      </c>
    </row>
    <row r="37" spans="1:23" ht="15.75" customHeight="1" x14ac:dyDescent="0.2">
      <c r="B37" s="1" t="s">
        <v>165</v>
      </c>
      <c r="E37" s="21"/>
      <c r="F37" s="34">
        <v>3100000</v>
      </c>
      <c r="G37" s="22">
        <f t="shared" ref="G37:W37" si="10">F37*1.02</f>
        <v>3162000</v>
      </c>
      <c r="H37" s="22">
        <f t="shared" si="10"/>
        <v>3225240</v>
      </c>
      <c r="I37" s="22">
        <f t="shared" si="10"/>
        <v>3289744.8000000003</v>
      </c>
      <c r="J37" s="22">
        <f t="shared" si="10"/>
        <v>3355539.6960000005</v>
      </c>
      <c r="K37" s="22">
        <f t="shared" si="10"/>
        <v>3422650.4899200005</v>
      </c>
      <c r="L37" s="22">
        <f t="shared" si="10"/>
        <v>3491103.4997184006</v>
      </c>
      <c r="M37" s="22">
        <f t="shared" si="10"/>
        <v>3560925.5697127688</v>
      </c>
      <c r="N37" s="22">
        <f t="shared" si="10"/>
        <v>3632144.0811070241</v>
      </c>
      <c r="O37" s="22">
        <f t="shared" si="10"/>
        <v>3704786.9627291649</v>
      </c>
      <c r="P37" s="22">
        <f t="shared" si="10"/>
        <v>3778882.701983748</v>
      </c>
      <c r="Q37" s="22">
        <f t="shared" si="10"/>
        <v>3854460.3560234229</v>
      </c>
      <c r="R37" s="22">
        <f t="shared" si="10"/>
        <v>3931549.5631438913</v>
      </c>
      <c r="S37" s="22">
        <f t="shared" si="10"/>
        <v>4010180.5544067691</v>
      </c>
      <c r="T37" s="22">
        <f t="shared" si="10"/>
        <v>4090384.1654949044</v>
      </c>
      <c r="U37" s="22">
        <f t="shared" si="10"/>
        <v>4172191.8488048026</v>
      </c>
      <c r="V37" s="22">
        <f t="shared" si="10"/>
        <v>4255635.6857808987</v>
      </c>
      <c r="W37" s="22">
        <f t="shared" si="10"/>
        <v>4340748.3994965171</v>
      </c>
    </row>
    <row r="38" spans="1:23" ht="15.75" customHeight="1" x14ac:dyDescent="0.2">
      <c r="B38" s="1" t="s">
        <v>167</v>
      </c>
      <c r="E38" s="21"/>
      <c r="F38" s="23">
        <f t="shared" ref="F38:W38" si="11">F37*0.74</f>
        <v>2294000</v>
      </c>
      <c r="G38" s="23">
        <f t="shared" si="11"/>
        <v>2339880</v>
      </c>
      <c r="H38" s="23">
        <f t="shared" si="11"/>
        <v>2386677.6</v>
      </c>
      <c r="I38" s="23">
        <f t="shared" si="11"/>
        <v>2434411.1520000002</v>
      </c>
      <c r="J38" s="23">
        <f t="shared" si="11"/>
        <v>2483099.3750400003</v>
      </c>
      <c r="K38" s="23">
        <f t="shared" si="11"/>
        <v>2532761.3625408006</v>
      </c>
      <c r="L38" s="23">
        <f t="shared" si="11"/>
        <v>2583416.5897916164</v>
      </c>
      <c r="M38" s="23">
        <f t="shared" si="11"/>
        <v>2635084.921587449</v>
      </c>
      <c r="N38" s="23">
        <f t="shared" si="11"/>
        <v>2687786.6200191979</v>
      </c>
      <c r="O38" s="23">
        <f t="shared" si="11"/>
        <v>2741542.3524195822</v>
      </c>
      <c r="P38" s="23">
        <f t="shared" si="11"/>
        <v>2796373.1994679733</v>
      </c>
      <c r="Q38" s="23">
        <f t="shared" si="11"/>
        <v>2852300.6634573331</v>
      </c>
      <c r="R38" s="23">
        <f t="shared" si="11"/>
        <v>2909346.6767264795</v>
      </c>
      <c r="S38" s="23">
        <f t="shared" si="11"/>
        <v>2967533.6102610091</v>
      </c>
      <c r="T38" s="23">
        <f t="shared" si="11"/>
        <v>3026884.2824662291</v>
      </c>
      <c r="U38" s="23">
        <f t="shared" si="11"/>
        <v>3087421.9681155537</v>
      </c>
      <c r="V38" s="23">
        <f t="shared" si="11"/>
        <v>3149170.407477865</v>
      </c>
      <c r="W38" s="23">
        <f t="shared" si="11"/>
        <v>3212153.8156274226</v>
      </c>
    </row>
    <row r="39" spans="1:23" ht="15.75" customHeight="1" x14ac:dyDescent="0.2">
      <c r="A39" s="38">
        <f>SUM(G39:W39)</f>
        <v>2236.0349024238594</v>
      </c>
      <c r="B39" s="1" t="s">
        <v>99</v>
      </c>
      <c r="E39" s="21"/>
      <c r="F39" s="19">
        <f t="shared" ref="F39:W39" si="12">F36*F38/1000000</f>
        <v>22.94</v>
      </c>
      <c r="G39" s="19">
        <f t="shared" si="12"/>
        <v>116.994</v>
      </c>
      <c r="H39" s="19">
        <f t="shared" si="12"/>
        <v>286.40131200000002</v>
      </c>
      <c r="I39" s="19">
        <f t="shared" si="12"/>
        <v>292.12933823999998</v>
      </c>
      <c r="J39" s="19">
        <f t="shared" si="12"/>
        <v>297.97192500480003</v>
      </c>
      <c r="K39" s="19">
        <f t="shared" si="12"/>
        <v>688.70846970209459</v>
      </c>
      <c r="L39" s="19">
        <f t="shared" si="12"/>
        <v>41.293330771229201</v>
      </c>
      <c r="M39" s="19">
        <f t="shared" si="12"/>
        <v>42.119197386653788</v>
      </c>
      <c r="N39" s="19">
        <f t="shared" si="12"/>
        <v>42.961581334386864</v>
      </c>
      <c r="O39" s="19">
        <f t="shared" si="12"/>
        <v>43.820812961074608</v>
      </c>
      <c r="P39" s="19">
        <f t="shared" si="12"/>
        <v>44.697229220296094</v>
      </c>
      <c r="Q39" s="19">
        <f t="shared" si="12"/>
        <v>45.591173804702024</v>
      </c>
      <c r="R39" s="19">
        <f t="shared" si="12"/>
        <v>46.502997280796052</v>
      </c>
      <c r="S39" s="19">
        <f t="shared" si="12"/>
        <v>47.433057226411975</v>
      </c>
      <c r="T39" s="19">
        <f t="shared" si="12"/>
        <v>48.381718370940206</v>
      </c>
      <c r="U39" s="19">
        <f t="shared" si="12"/>
        <v>49.349352738359016</v>
      </c>
      <c r="V39" s="19">
        <f t="shared" si="12"/>
        <v>50.3363397931262</v>
      </c>
      <c r="W39" s="19">
        <f t="shared" si="12"/>
        <v>51.343066588988727</v>
      </c>
    </row>
    <row r="40" spans="1:23" ht="15.75" customHeight="1" x14ac:dyDescent="0.2">
      <c r="B40" s="1" t="s">
        <v>168</v>
      </c>
      <c r="E40" s="21"/>
      <c r="F40" s="9">
        <f t="shared" ref="F40:W40" si="13">F39*0.15</f>
        <v>3.4410000000000003</v>
      </c>
      <c r="G40" s="9">
        <f t="shared" si="13"/>
        <v>17.549099999999999</v>
      </c>
      <c r="H40" s="9">
        <f t="shared" si="13"/>
        <v>42.960196799999999</v>
      </c>
      <c r="I40" s="9">
        <f t="shared" si="13"/>
        <v>43.819400735999999</v>
      </c>
      <c r="J40" s="9">
        <f t="shared" si="13"/>
        <v>44.695788750720006</v>
      </c>
      <c r="K40" s="9">
        <f t="shared" si="13"/>
        <v>103.30627045531419</v>
      </c>
      <c r="L40" s="9">
        <f t="shared" si="13"/>
        <v>6.1939996156843797</v>
      </c>
      <c r="M40" s="9">
        <f t="shared" si="13"/>
        <v>6.3178796079980684</v>
      </c>
      <c r="N40" s="9">
        <f t="shared" si="13"/>
        <v>6.444237200158029</v>
      </c>
      <c r="O40" s="9">
        <f t="shared" si="13"/>
        <v>6.5731219441611914</v>
      </c>
      <c r="P40" s="9">
        <f t="shared" si="13"/>
        <v>6.7045843830444136</v>
      </c>
      <c r="Q40" s="9">
        <f t="shared" si="13"/>
        <v>6.8386760707053034</v>
      </c>
      <c r="R40" s="9">
        <f t="shared" si="13"/>
        <v>6.975449592119408</v>
      </c>
      <c r="S40" s="9">
        <f t="shared" si="13"/>
        <v>7.1149585839617959</v>
      </c>
      <c r="T40" s="9">
        <f t="shared" si="13"/>
        <v>7.2572577556410307</v>
      </c>
      <c r="U40" s="9">
        <f t="shared" si="13"/>
        <v>7.4024029107538523</v>
      </c>
      <c r="V40" s="9">
        <f t="shared" si="13"/>
        <v>7.5504509689689296</v>
      </c>
      <c r="W40" s="9">
        <f t="shared" si="13"/>
        <v>7.7014599883483088</v>
      </c>
    </row>
    <row r="41" spans="1:23" ht="15.75" customHeight="1" x14ac:dyDescent="0.2">
      <c r="B41" s="1" t="s">
        <v>170</v>
      </c>
      <c r="E41" s="21"/>
      <c r="F41" s="24">
        <f t="shared" ref="F41:W41" si="14">F39-F40</f>
        <v>19.499000000000002</v>
      </c>
      <c r="G41" s="24">
        <f t="shared" si="14"/>
        <v>99.444900000000004</v>
      </c>
      <c r="H41" s="24">
        <f t="shared" si="14"/>
        <v>243.44111520000001</v>
      </c>
      <c r="I41" s="24">
        <f t="shared" si="14"/>
        <v>248.30993750399998</v>
      </c>
      <c r="J41" s="24">
        <f t="shared" si="14"/>
        <v>253.27613625408003</v>
      </c>
      <c r="K41" s="24">
        <f t="shared" si="14"/>
        <v>585.40219924678036</v>
      </c>
      <c r="L41" s="24">
        <f t="shared" si="14"/>
        <v>35.099331155544817</v>
      </c>
      <c r="M41" s="24">
        <f t="shared" si="14"/>
        <v>35.801317778655722</v>
      </c>
      <c r="N41" s="24">
        <f t="shared" si="14"/>
        <v>36.517344134228836</v>
      </c>
      <c r="O41" s="24">
        <f t="shared" si="14"/>
        <v>37.247691016913414</v>
      </c>
      <c r="P41" s="24">
        <f t="shared" si="14"/>
        <v>37.992644837251682</v>
      </c>
      <c r="Q41" s="24">
        <f t="shared" si="14"/>
        <v>38.752497733996719</v>
      </c>
      <c r="R41" s="24">
        <f t="shared" si="14"/>
        <v>39.527547688676641</v>
      </c>
      <c r="S41" s="24">
        <f t="shared" si="14"/>
        <v>40.318098642450181</v>
      </c>
      <c r="T41" s="24">
        <f t="shared" si="14"/>
        <v>41.124460615299178</v>
      </c>
      <c r="U41" s="24">
        <f t="shared" si="14"/>
        <v>41.946949827605167</v>
      </c>
      <c r="V41" s="24">
        <f t="shared" si="14"/>
        <v>42.785888824157269</v>
      </c>
      <c r="W41" s="24">
        <f t="shared" si="14"/>
        <v>43.641606600640415</v>
      </c>
    </row>
    <row r="42" spans="1:23" ht="15.75" customHeight="1" x14ac:dyDescent="0.2">
      <c r="B42" s="14" t="s">
        <v>224</v>
      </c>
      <c r="E42" s="21"/>
      <c r="F42" s="17">
        <f>F41*0.5*0.43 +F41*0.5</f>
        <v>13.941785000000001</v>
      </c>
      <c r="G42" s="17">
        <f t="shared" ref="G42:W42" si="15">G41*0.5*0.43 +G41*0.5</f>
        <v>71.103103500000003</v>
      </c>
      <c r="H42" s="17">
        <f t="shared" si="15"/>
        <v>174.060397368</v>
      </c>
      <c r="I42" s="17">
        <f t="shared" si="15"/>
        <v>177.54160531535999</v>
      </c>
      <c r="J42" s="17">
        <f t="shared" si="15"/>
        <v>181.09243742166723</v>
      </c>
      <c r="K42" s="17">
        <f t="shared" si="15"/>
        <v>418.56257246144799</v>
      </c>
      <c r="L42" s="17">
        <f t="shared" si="15"/>
        <v>25.096021776214545</v>
      </c>
      <c r="M42" s="17">
        <f t="shared" si="15"/>
        <v>25.59794221173884</v>
      </c>
      <c r="N42" s="17">
        <f t="shared" si="15"/>
        <v>26.109901055973616</v>
      </c>
      <c r="O42" s="17">
        <f t="shared" si="15"/>
        <v>26.632099077093091</v>
      </c>
      <c r="P42" s="17">
        <f t="shared" si="15"/>
        <v>27.164741058634952</v>
      </c>
      <c r="Q42" s="17">
        <f t="shared" si="15"/>
        <v>27.708035879807653</v>
      </c>
      <c r="R42" s="17">
        <f t="shared" si="15"/>
        <v>28.262196597403801</v>
      </c>
      <c r="S42" s="17">
        <f t="shared" si="15"/>
        <v>28.827440529351879</v>
      </c>
      <c r="T42" s="17">
        <f t="shared" si="15"/>
        <v>29.40398933993891</v>
      </c>
      <c r="U42" s="17">
        <f t="shared" si="15"/>
        <v>29.992069126737697</v>
      </c>
      <c r="V42" s="17">
        <f t="shared" si="15"/>
        <v>30.591910509272445</v>
      </c>
      <c r="W42" s="17">
        <f t="shared" si="15"/>
        <v>31.203748719457899</v>
      </c>
    </row>
    <row r="43" spans="1:23" ht="15.75" customHeight="1" x14ac:dyDescent="0.2">
      <c r="E43" s="21"/>
    </row>
    <row r="44" spans="1:23" ht="15.75" customHeight="1" x14ac:dyDescent="0.2">
      <c r="B44" s="1" t="s">
        <v>171</v>
      </c>
      <c r="C44" s="1">
        <v>28.97</v>
      </c>
      <c r="D44" s="1">
        <v>31.09</v>
      </c>
      <c r="E44" s="1">
        <v>34.36</v>
      </c>
      <c r="F44" s="1">
        <v>5</v>
      </c>
      <c r="G44" s="1">
        <v>5</v>
      </c>
      <c r="H44" s="1">
        <v>5</v>
      </c>
      <c r="I44" s="1">
        <v>5</v>
      </c>
      <c r="J44" s="1">
        <v>5</v>
      </c>
      <c r="K44" s="1">
        <v>5</v>
      </c>
      <c r="L44" s="1">
        <v>5</v>
      </c>
      <c r="M44" s="1">
        <v>5</v>
      </c>
      <c r="N44" s="1">
        <v>5</v>
      </c>
      <c r="O44" s="1">
        <v>5</v>
      </c>
      <c r="P44" s="1">
        <v>5</v>
      </c>
      <c r="Q44" s="1">
        <v>5</v>
      </c>
      <c r="R44" s="1">
        <v>5</v>
      </c>
      <c r="S44" s="1">
        <v>5</v>
      </c>
      <c r="T44" s="1">
        <v>5</v>
      </c>
      <c r="U44" s="1">
        <v>5</v>
      </c>
      <c r="V44" s="1">
        <v>5</v>
      </c>
      <c r="W44" s="1">
        <v>5</v>
      </c>
    </row>
    <row r="45" spans="1:23" ht="15.75" customHeight="1" x14ac:dyDescent="0.2">
      <c r="B45" s="1" t="s">
        <v>172</v>
      </c>
      <c r="C45" s="1">
        <v>17.260000000000002</v>
      </c>
      <c r="D45" s="1">
        <v>19</v>
      </c>
      <c r="E45" s="1">
        <v>29.85</v>
      </c>
      <c r="F45" s="9">
        <f t="shared" ref="F45:H45" si="16">136*1.5*0.225</f>
        <v>45.9</v>
      </c>
      <c r="G45" s="9">
        <f t="shared" si="16"/>
        <v>45.9</v>
      </c>
      <c r="H45" s="9">
        <f t="shared" si="16"/>
        <v>45.9</v>
      </c>
      <c r="I45" s="9">
        <f>I39*0.3</f>
        <v>87.638801471999997</v>
      </c>
      <c r="J45" s="9">
        <f t="shared" ref="J45:W45" si="17">J39*0.34</f>
        <v>101.31045450163202</v>
      </c>
      <c r="K45" s="9">
        <f t="shared" si="17"/>
        <v>234.16087969871217</v>
      </c>
      <c r="L45" s="9">
        <f t="shared" si="17"/>
        <v>14.039732462217929</v>
      </c>
      <c r="M45" s="9">
        <f t="shared" si="17"/>
        <v>14.320527111462289</v>
      </c>
      <c r="N45" s="9">
        <f t="shared" si="17"/>
        <v>14.606937653691535</v>
      </c>
      <c r="O45" s="9">
        <f t="shared" si="17"/>
        <v>14.899076406765367</v>
      </c>
      <c r="P45" s="9">
        <f t="shared" si="17"/>
        <v>15.197057934900673</v>
      </c>
      <c r="Q45" s="9">
        <f t="shared" si="17"/>
        <v>15.50099909359869</v>
      </c>
      <c r="R45" s="9">
        <f t="shared" si="17"/>
        <v>15.811019075470659</v>
      </c>
      <c r="S45" s="9">
        <f t="shared" si="17"/>
        <v>16.127239456980071</v>
      </c>
      <c r="T45" s="9">
        <f t="shared" si="17"/>
        <v>16.44978424611967</v>
      </c>
      <c r="U45" s="9">
        <f t="shared" si="17"/>
        <v>16.778779931042067</v>
      </c>
      <c r="V45" s="9">
        <f t="shared" si="17"/>
        <v>17.114355529662909</v>
      </c>
      <c r="W45" s="9">
        <f t="shared" si="17"/>
        <v>17.456642640256167</v>
      </c>
    </row>
    <row r="46" spans="1:23" ht="15.75" customHeight="1" x14ac:dyDescent="0.2">
      <c r="B46" s="1" t="s">
        <v>173</v>
      </c>
      <c r="E46" s="21"/>
      <c r="F46" s="19">
        <f t="shared" ref="F46:W46" si="18">F41-F44-F45</f>
        <v>-31.400999999999996</v>
      </c>
      <c r="G46" s="19">
        <f t="shared" si="18"/>
        <v>48.544900000000005</v>
      </c>
      <c r="H46" s="19">
        <f t="shared" si="18"/>
        <v>192.54111520000001</v>
      </c>
      <c r="I46" s="19">
        <f t="shared" si="18"/>
        <v>155.67113603199999</v>
      </c>
      <c r="J46" s="19">
        <f t="shared" si="18"/>
        <v>146.96568175244801</v>
      </c>
      <c r="K46" s="19">
        <f t="shared" si="18"/>
        <v>346.24131954806819</v>
      </c>
      <c r="L46" s="19">
        <f t="shared" si="18"/>
        <v>16.05959869332689</v>
      </c>
      <c r="M46" s="19">
        <f t="shared" si="18"/>
        <v>16.480790667193432</v>
      </c>
      <c r="N46" s="19">
        <f t="shared" si="18"/>
        <v>16.910406480537301</v>
      </c>
      <c r="O46" s="19">
        <f t="shared" si="18"/>
        <v>17.348614610148047</v>
      </c>
      <c r="P46" s="19">
        <f t="shared" si="18"/>
        <v>17.795586902351008</v>
      </c>
      <c r="Q46" s="19">
        <f t="shared" si="18"/>
        <v>18.251498640398029</v>
      </c>
      <c r="R46" s="19">
        <f t="shared" si="18"/>
        <v>18.71652861320598</v>
      </c>
      <c r="S46" s="19">
        <f t="shared" si="18"/>
        <v>19.19085918547011</v>
      </c>
      <c r="T46" s="19">
        <f t="shared" si="18"/>
        <v>19.674676369179508</v>
      </c>
      <c r="U46" s="19">
        <f t="shared" si="18"/>
        <v>20.1681698965631</v>
      </c>
      <c r="V46" s="19">
        <f t="shared" si="18"/>
        <v>20.67153329449436</v>
      </c>
      <c r="W46" s="19">
        <f t="shared" si="18"/>
        <v>21.184963960384248</v>
      </c>
    </row>
    <row r="47" spans="1:23" ht="15.75" customHeight="1" x14ac:dyDescent="0.2">
      <c r="B47" s="14" t="s">
        <v>225</v>
      </c>
      <c r="E47" s="21"/>
      <c r="F47" s="42">
        <f>F42-F44-F45</f>
        <v>-36.958214999999996</v>
      </c>
      <c r="G47" s="42">
        <f t="shared" ref="G47:W47" si="19">G42-G44-G45</f>
        <v>20.203103500000005</v>
      </c>
      <c r="H47" s="42">
        <f t="shared" si="19"/>
        <v>123.16039736799999</v>
      </c>
      <c r="I47" s="42">
        <f t="shared" si="19"/>
        <v>84.90280384335999</v>
      </c>
      <c r="J47" s="42">
        <f t="shared" si="19"/>
        <v>74.781982920035205</v>
      </c>
      <c r="K47" s="42">
        <f t="shared" si="19"/>
        <v>179.40169276273582</v>
      </c>
      <c r="L47" s="42">
        <f t="shared" si="19"/>
        <v>6.0562893139966167</v>
      </c>
      <c r="M47" s="42">
        <f t="shared" si="19"/>
        <v>6.277415100276551</v>
      </c>
      <c r="N47" s="42">
        <f t="shared" si="19"/>
        <v>6.5029634022820808</v>
      </c>
      <c r="O47" s="42">
        <f t="shared" si="19"/>
        <v>6.7330226703277241</v>
      </c>
      <c r="P47" s="42">
        <f t="shared" si="19"/>
        <v>6.9676831237342789</v>
      </c>
      <c r="Q47" s="42">
        <f t="shared" si="19"/>
        <v>7.2070367862089633</v>
      </c>
      <c r="R47" s="42">
        <f t="shared" si="19"/>
        <v>7.4511775219331415</v>
      </c>
      <c r="S47" s="42">
        <f t="shared" si="19"/>
        <v>7.700201072371808</v>
      </c>
      <c r="T47" s="42">
        <f t="shared" si="19"/>
        <v>7.9542050938192403</v>
      </c>
      <c r="U47" s="42">
        <f t="shared" si="19"/>
        <v>8.21328919569563</v>
      </c>
      <c r="V47" s="42">
        <f t="shared" si="19"/>
        <v>8.4775549796095362</v>
      </c>
      <c r="W47" s="42">
        <f t="shared" si="19"/>
        <v>8.7471060792017319</v>
      </c>
    </row>
    <row r="48" spans="1:23" ht="15.75" customHeight="1" x14ac:dyDescent="0.2">
      <c r="B48" s="1" t="s">
        <v>174</v>
      </c>
      <c r="C48" s="1">
        <v>0.43099999999999999</v>
      </c>
      <c r="D48" s="1">
        <v>2.117</v>
      </c>
      <c r="E48" s="21">
        <v>4.25</v>
      </c>
      <c r="F48" s="9">
        <v>4</v>
      </c>
      <c r="G48" s="9">
        <v>4</v>
      </c>
      <c r="H48" s="9">
        <v>4</v>
      </c>
      <c r="I48" s="9">
        <v>4</v>
      </c>
      <c r="J48" s="9">
        <v>4</v>
      </c>
      <c r="K48" s="9">
        <v>4</v>
      </c>
      <c r="L48" s="9">
        <v>4</v>
      </c>
      <c r="M48" s="9">
        <v>4</v>
      </c>
      <c r="N48" s="9">
        <v>4</v>
      </c>
      <c r="O48" s="9">
        <v>4</v>
      </c>
      <c r="P48" s="9">
        <v>4</v>
      </c>
      <c r="Q48" s="9">
        <v>4</v>
      </c>
      <c r="R48" s="9">
        <v>4</v>
      </c>
      <c r="S48" s="9">
        <v>4</v>
      </c>
      <c r="T48" s="9">
        <v>4</v>
      </c>
      <c r="U48" s="9">
        <v>4</v>
      </c>
      <c r="V48" s="9">
        <v>4</v>
      </c>
      <c r="W48" s="9">
        <v>4</v>
      </c>
    </row>
    <row r="49" spans="2:23" ht="15.75" customHeight="1" x14ac:dyDescent="0.2">
      <c r="B49" s="1" t="s">
        <v>175</v>
      </c>
      <c r="E49" s="21">
        <v>4.2080000000000002</v>
      </c>
      <c r="F49" s="1">
        <f t="shared" ref="F49:W49" si="20">F50*F70</f>
        <v>1.7550000000000001</v>
      </c>
      <c r="G49" s="1">
        <f t="shared" si="20"/>
        <v>1.7550000000000001</v>
      </c>
      <c r="H49" s="1">
        <f t="shared" si="20"/>
        <v>1.7550000000000001</v>
      </c>
      <c r="I49" s="1">
        <f t="shared" si="20"/>
        <v>1.7550000000000001</v>
      </c>
      <c r="J49" s="1">
        <f t="shared" si="20"/>
        <v>1.7550000000000001</v>
      </c>
      <c r="K49" s="1">
        <f t="shared" si="20"/>
        <v>1.7550000000000001</v>
      </c>
      <c r="L49" s="1">
        <f t="shared" si="20"/>
        <v>0</v>
      </c>
      <c r="M49" s="1">
        <f t="shared" si="20"/>
        <v>0</v>
      </c>
      <c r="N49" s="1">
        <f t="shared" si="20"/>
        <v>0</v>
      </c>
      <c r="O49" s="1">
        <f t="shared" si="20"/>
        <v>0</v>
      </c>
      <c r="P49" s="1">
        <f t="shared" si="20"/>
        <v>0</v>
      </c>
      <c r="Q49" s="1">
        <f t="shared" si="20"/>
        <v>0</v>
      </c>
      <c r="R49" s="1">
        <f t="shared" si="20"/>
        <v>0</v>
      </c>
      <c r="S49" s="1">
        <f t="shared" si="20"/>
        <v>0</v>
      </c>
      <c r="T49" s="1">
        <f t="shared" si="20"/>
        <v>0</v>
      </c>
      <c r="U49" s="1">
        <f t="shared" si="20"/>
        <v>0</v>
      </c>
      <c r="V49" s="1">
        <f t="shared" si="20"/>
        <v>0</v>
      </c>
      <c r="W49" s="1">
        <f t="shared" si="20"/>
        <v>0</v>
      </c>
    </row>
    <row r="50" spans="2:23" ht="15.75" customHeight="1" x14ac:dyDescent="0.2">
      <c r="B50" s="16" t="s">
        <v>176</v>
      </c>
      <c r="D50" s="1"/>
      <c r="E50" s="25">
        <f>E49/E70</f>
        <v>0.22194092827004219</v>
      </c>
      <c r="F50" s="26">
        <v>0.13500000000000001</v>
      </c>
      <c r="G50" s="26">
        <v>0.13500000000000001</v>
      </c>
      <c r="H50" s="26">
        <v>0.13500000000000001</v>
      </c>
      <c r="I50" s="26">
        <v>0.13500000000000001</v>
      </c>
      <c r="J50" s="26">
        <v>0.13500000000000001</v>
      </c>
      <c r="K50" s="26">
        <v>0.13500000000000001</v>
      </c>
      <c r="L50" s="26">
        <v>0.13500000000000001</v>
      </c>
      <c r="M50" s="26">
        <v>0.13500000000000001</v>
      </c>
      <c r="N50" s="26">
        <v>0.13500000000000001</v>
      </c>
      <c r="O50" s="26">
        <v>0.13500000000000001</v>
      </c>
      <c r="P50" s="26">
        <v>0.13500000000000001</v>
      </c>
      <c r="Q50" s="26">
        <v>0.13500000000000001</v>
      </c>
      <c r="R50" s="26">
        <v>0.13500000000000001</v>
      </c>
      <c r="S50" s="26">
        <v>0.13500000000000001</v>
      </c>
      <c r="T50" s="26">
        <v>0.13500000000000001</v>
      </c>
      <c r="U50" s="26">
        <v>0.13500000000000001</v>
      </c>
      <c r="V50" s="26">
        <v>0.13500000000000001</v>
      </c>
      <c r="W50" s="26">
        <v>0.13500000000000001</v>
      </c>
    </row>
    <row r="51" spans="2:23" ht="15.75" customHeight="1" x14ac:dyDescent="0.2">
      <c r="B51" s="1" t="s">
        <v>178</v>
      </c>
      <c r="E51" s="21"/>
      <c r="F51" s="19">
        <f t="shared" ref="F51:W51" si="21">F46+F48-F49</f>
        <v>-29.155999999999995</v>
      </c>
      <c r="G51" s="19">
        <f t="shared" si="21"/>
        <v>50.789900000000003</v>
      </c>
      <c r="H51" s="19">
        <f t="shared" si="21"/>
        <v>194.78611520000001</v>
      </c>
      <c r="I51" s="19">
        <f t="shared" si="21"/>
        <v>157.916136032</v>
      </c>
      <c r="J51" s="19">
        <f t="shared" si="21"/>
        <v>149.21068175244801</v>
      </c>
      <c r="K51" s="19">
        <f t="shared" si="21"/>
        <v>348.4863195480682</v>
      </c>
      <c r="L51" s="19">
        <f t="shared" si="21"/>
        <v>20.05959869332689</v>
      </c>
      <c r="M51" s="19">
        <f t="shared" si="21"/>
        <v>20.480790667193432</v>
      </c>
      <c r="N51" s="19">
        <f t="shared" si="21"/>
        <v>20.910406480537301</v>
      </c>
      <c r="O51" s="19">
        <f t="shared" si="21"/>
        <v>21.348614610148047</v>
      </c>
      <c r="P51" s="19">
        <f t="shared" si="21"/>
        <v>21.795586902351008</v>
      </c>
      <c r="Q51" s="19">
        <f t="shared" si="21"/>
        <v>22.251498640398029</v>
      </c>
      <c r="R51" s="19">
        <f t="shared" si="21"/>
        <v>22.71652861320598</v>
      </c>
      <c r="S51" s="19">
        <f t="shared" si="21"/>
        <v>23.19085918547011</v>
      </c>
      <c r="T51" s="19">
        <f t="shared" si="21"/>
        <v>23.674676369179508</v>
      </c>
      <c r="U51" s="19">
        <f t="shared" si="21"/>
        <v>24.1681698965631</v>
      </c>
      <c r="V51" s="19">
        <f t="shared" si="21"/>
        <v>24.67153329449436</v>
      </c>
      <c r="W51" s="19">
        <f t="shared" si="21"/>
        <v>25.184963960384248</v>
      </c>
    </row>
    <row r="52" spans="2:23" s="9" customFormat="1" ht="15.75" customHeight="1" x14ac:dyDescent="0.2">
      <c r="B52" s="14" t="s">
        <v>226</v>
      </c>
      <c r="C52"/>
      <c r="D52"/>
      <c r="E52" s="21"/>
      <c r="F52" s="17">
        <f>F47+F48-F49</f>
        <v>-34.713214999999998</v>
      </c>
      <c r="G52" s="17">
        <f t="shared" ref="G52:W52" si="22">G47+G48-G49</f>
        <v>22.448103500000006</v>
      </c>
      <c r="H52" s="17">
        <f t="shared" si="22"/>
        <v>125.405397368</v>
      </c>
      <c r="I52" s="17">
        <f t="shared" si="22"/>
        <v>87.147803843359995</v>
      </c>
      <c r="J52" s="17">
        <f t="shared" si="22"/>
        <v>77.026982920035209</v>
      </c>
      <c r="K52" s="17">
        <f t="shared" si="22"/>
        <v>181.64669276273582</v>
      </c>
      <c r="L52" s="17">
        <f t="shared" si="22"/>
        <v>10.056289313996617</v>
      </c>
      <c r="M52" s="17">
        <f t="shared" si="22"/>
        <v>10.277415100276551</v>
      </c>
      <c r="N52" s="17">
        <f t="shared" si="22"/>
        <v>10.502963402282081</v>
      </c>
      <c r="O52" s="17">
        <f t="shared" si="22"/>
        <v>10.733022670327724</v>
      </c>
      <c r="P52" s="17">
        <f t="shared" si="22"/>
        <v>10.967683123734279</v>
      </c>
      <c r="Q52" s="17">
        <f t="shared" si="22"/>
        <v>11.207036786208963</v>
      </c>
      <c r="R52" s="17">
        <f t="shared" si="22"/>
        <v>11.451177521933142</v>
      </c>
      <c r="S52" s="17">
        <f t="shared" si="22"/>
        <v>11.700201072371808</v>
      </c>
      <c r="T52" s="17">
        <f t="shared" si="22"/>
        <v>11.95420509381924</v>
      </c>
      <c r="U52" s="17">
        <f t="shared" si="22"/>
        <v>12.21328919569563</v>
      </c>
      <c r="V52" s="17">
        <f t="shared" si="22"/>
        <v>12.477554979609536</v>
      </c>
      <c r="W52" s="17">
        <f t="shared" si="22"/>
        <v>12.747106079201732</v>
      </c>
    </row>
    <row r="53" spans="2:23" ht="12.75" x14ac:dyDescent="0.2">
      <c r="B53" s="1" t="s">
        <v>179</v>
      </c>
      <c r="E53" s="21"/>
      <c r="F53" s="4">
        <f t="shared" ref="F53:W54" si="23">IF(F51&gt;0,F51*0.2,0)</f>
        <v>0</v>
      </c>
      <c r="G53" s="4">
        <f t="shared" si="23"/>
        <v>10.157980000000002</v>
      </c>
      <c r="H53" s="4">
        <f t="shared" si="23"/>
        <v>38.957223040000002</v>
      </c>
      <c r="I53" s="4">
        <f t="shared" si="23"/>
        <v>31.5832272064</v>
      </c>
      <c r="J53" s="4">
        <f t="shared" si="23"/>
        <v>29.842136350489604</v>
      </c>
      <c r="K53" s="4">
        <f t="shared" si="23"/>
        <v>69.697263909613639</v>
      </c>
      <c r="L53" s="4">
        <f t="shared" si="23"/>
        <v>4.0119197386653784</v>
      </c>
      <c r="M53" s="4">
        <f t="shared" si="23"/>
        <v>4.0961581334386867</v>
      </c>
      <c r="N53" s="4">
        <f t="shared" si="23"/>
        <v>4.1820812961074605</v>
      </c>
      <c r="O53" s="4">
        <f t="shared" si="23"/>
        <v>4.2697229220296098</v>
      </c>
      <c r="P53" s="4">
        <f t="shared" si="23"/>
        <v>4.3591173804702015</v>
      </c>
      <c r="Q53" s="4">
        <f t="shared" si="23"/>
        <v>4.4502997280796057</v>
      </c>
      <c r="R53" s="4">
        <f t="shared" si="23"/>
        <v>4.5433057226411959</v>
      </c>
      <c r="S53" s="4">
        <f t="shared" si="23"/>
        <v>4.6381718370940224</v>
      </c>
      <c r="T53" s="4">
        <f t="shared" si="23"/>
        <v>4.7349352738359016</v>
      </c>
      <c r="U53" s="4">
        <f t="shared" si="23"/>
        <v>4.8336339793126202</v>
      </c>
      <c r="V53" s="4">
        <f t="shared" si="23"/>
        <v>4.9343066588988727</v>
      </c>
      <c r="W53" s="4">
        <f t="shared" si="23"/>
        <v>5.03699279207685</v>
      </c>
    </row>
    <row r="54" spans="2:23" s="1" customFormat="1" ht="12.75" x14ac:dyDescent="0.2">
      <c r="B54" s="14" t="s">
        <v>227</v>
      </c>
      <c r="C54"/>
      <c r="D54"/>
      <c r="E54" s="21"/>
      <c r="F54" s="43">
        <f t="shared" si="23"/>
        <v>0</v>
      </c>
      <c r="G54" s="43">
        <f t="shared" si="23"/>
        <v>4.4896207000000015</v>
      </c>
      <c r="H54" s="43">
        <f t="shared" si="23"/>
        <v>25.081079473599999</v>
      </c>
      <c r="I54" s="43">
        <f t="shared" si="23"/>
        <v>17.429560768672001</v>
      </c>
      <c r="J54" s="43">
        <f t="shared" si="23"/>
        <v>15.405396584007043</v>
      </c>
      <c r="K54" s="43">
        <f t="shared" si="23"/>
        <v>36.329338552547163</v>
      </c>
      <c r="L54" s="43">
        <f t="shared" si="23"/>
        <v>2.0112578627993236</v>
      </c>
      <c r="M54" s="43">
        <f t="shared" si="23"/>
        <v>2.0554830200553105</v>
      </c>
      <c r="N54" s="43">
        <f t="shared" si="23"/>
        <v>2.1005926804564163</v>
      </c>
      <c r="O54" s="43">
        <f t="shared" si="23"/>
        <v>2.1466045340655451</v>
      </c>
      <c r="P54" s="43">
        <f t="shared" si="23"/>
        <v>2.193536624746856</v>
      </c>
      <c r="Q54" s="43">
        <f t="shared" si="23"/>
        <v>2.2414073572417927</v>
      </c>
      <c r="R54" s="43">
        <f t="shared" si="23"/>
        <v>2.2902355043866285</v>
      </c>
      <c r="S54" s="43">
        <f t="shared" si="23"/>
        <v>2.3400402144743615</v>
      </c>
      <c r="T54" s="43">
        <f t="shared" si="23"/>
        <v>2.3908410187638482</v>
      </c>
      <c r="U54" s="43">
        <f t="shared" si="23"/>
        <v>2.4426578391391263</v>
      </c>
      <c r="V54" s="43">
        <f t="shared" si="23"/>
        <v>2.4955109959219075</v>
      </c>
      <c r="W54" s="43">
        <f t="shared" si="23"/>
        <v>2.5494212158403466</v>
      </c>
    </row>
    <row r="55" spans="2:23" ht="12.75" x14ac:dyDescent="0.2">
      <c r="B55" s="1" t="s">
        <v>180</v>
      </c>
      <c r="E55" s="21"/>
      <c r="F55" s="24">
        <f t="shared" ref="F55:W56" si="24">F51-F53</f>
        <v>-29.155999999999995</v>
      </c>
      <c r="G55" s="24">
        <f t="shared" si="24"/>
        <v>40.631920000000001</v>
      </c>
      <c r="H55" s="24">
        <f t="shared" si="24"/>
        <v>155.82889216000001</v>
      </c>
      <c r="I55" s="24">
        <f t="shared" si="24"/>
        <v>126.3329088256</v>
      </c>
      <c r="J55" s="24">
        <f t="shared" si="24"/>
        <v>119.36854540195841</v>
      </c>
      <c r="K55" s="24">
        <f t="shared" si="24"/>
        <v>278.78905563845456</v>
      </c>
      <c r="L55" s="24">
        <f t="shared" si="24"/>
        <v>16.047678954661514</v>
      </c>
      <c r="M55" s="24">
        <f t="shared" si="24"/>
        <v>16.384632533754747</v>
      </c>
      <c r="N55" s="24">
        <f t="shared" si="24"/>
        <v>16.728325184429842</v>
      </c>
      <c r="O55" s="24">
        <f t="shared" si="24"/>
        <v>17.078891688118439</v>
      </c>
      <c r="P55" s="24">
        <f t="shared" si="24"/>
        <v>17.436469521880806</v>
      </c>
      <c r="Q55" s="24">
        <f t="shared" si="24"/>
        <v>17.801198912318423</v>
      </c>
      <c r="R55" s="24">
        <f t="shared" si="24"/>
        <v>18.173222890564784</v>
      </c>
      <c r="S55" s="24">
        <f t="shared" si="24"/>
        <v>18.552687348376089</v>
      </c>
      <c r="T55" s="24">
        <f t="shared" si="24"/>
        <v>18.939741095343607</v>
      </c>
      <c r="U55" s="24">
        <f t="shared" si="24"/>
        <v>19.334535917250481</v>
      </c>
      <c r="V55" s="24">
        <f t="shared" si="24"/>
        <v>19.737226635595487</v>
      </c>
      <c r="W55" s="24">
        <f t="shared" si="24"/>
        <v>20.1479711683074</v>
      </c>
    </row>
    <row r="56" spans="2:23" ht="12.75" x14ac:dyDescent="0.2">
      <c r="B56" s="14" t="s">
        <v>228</v>
      </c>
      <c r="E56" s="21"/>
      <c r="F56" s="44">
        <f t="shared" si="24"/>
        <v>-34.713214999999998</v>
      </c>
      <c r="G56" s="44">
        <f t="shared" si="24"/>
        <v>17.958482800000006</v>
      </c>
      <c r="H56" s="44">
        <f t="shared" si="24"/>
        <v>100.3243178944</v>
      </c>
      <c r="I56" s="44">
        <f t="shared" si="24"/>
        <v>69.71824307468799</v>
      </c>
      <c r="J56" s="44">
        <f t="shared" si="24"/>
        <v>61.621586336028166</v>
      </c>
      <c r="K56" s="44">
        <f t="shared" si="24"/>
        <v>145.31735421018865</v>
      </c>
      <c r="L56" s="44">
        <f t="shared" si="24"/>
        <v>8.0450314511972927</v>
      </c>
      <c r="M56" s="44">
        <f t="shared" si="24"/>
        <v>8.2219320802212401</v>
      </c>
      <c r="N56" s="44">
        <f t="shared" si="24"/>
        <v>8.4023707218256654</v>
      </c>
      <c r="O56" s="44">
        <f t="shared" si="24"/>
        <v>8.5864181362621785</v>
      </c>
      <c r="P56" s="44">
        <f t="shared" si="24"/>
        <v>8.7741464989874238</v>
      </c>
      <c r="Q56" s="44">
        <f t="shared" si="24"/>
        <v>8.965629428967171</v>
      </c>
      <c r="R56" s="44">
        <f t="shared" si="24"/>
        <v>9.1609420175465139</v>
      </c>
      <c r="S56" s="44">
        <f t="shared" si="24"/>
        <v>9.360160857897446</v>
      </c>
      <c r="T56" s="44">
        <f t="shared" si="24"/>
        <v>9.563364075055393</v>
      </c>
      <c r="U56" s="44">
        <f t="shared" si="24"/>
        <v>9.7706313565565033</v>
      </c>
      <c r="V56" s="44">
        <f t="shared" si="24"/>
        <v>9.9820439836876282</v>
      </c>
      <c r="W56" s="44">
        <f t="shared" si="24"/>
        <v>10.197684863361385</v>
      </c>
    </row>
    <row r="57" spans="2:23" ht="12.75" x14ac:dyDescent="0.2">
      <c r="B57" s="1"/>
      <c r="E57" s="21"/>
      <c r="F57" s="9"/>
      <c r="G57" s="9"/>
      <c r="H57" s="9"/>
      <c r="I57" s="9"/>
      <c r="J57" s="9"/>
      <c r="K57" s="9"/>
      <c r="L57" s="9"/>
      <c r="M57" s="9"/>
      <c r="N57" s="9"/>
      <c r="O57" s="9"/>
      <c r="P57" s="9"/>
      <c r="Q57" s="9"/>
      <c r="R57" s="9"/>
      <c r="S57" s="9"/>
      <c r="T57" s="9"/>
      <c r="U57" s="9"/>
      <c r="V57" s="9"/>
      <c r="W57" s="9"/>
    </row>
    <row r="58" spans="2:23" ht="12.75" x14ac:dyDescent="0.2">
      <c r="D58" s="36" t="s">
        <v>221</v>
      </c>
      <c r="E58" s="21" t="s">
        <v>229</v>
      </c>
      <c r="F58" s="9">
        <f t="array" ref="F58">NPV(0.19,F55:W55)</f>
        <v>335.96777696309914</v>
      </c>
    </row>
    <row r="59" spans="2:23" ht="12.75" x14ac:dyDescent="0.2">
      <c r="D59" s="36"/>
      <c r="E59" s="21" t="s">
        <v>223</v>
      </c>
      <c r="F59" s="9">
        <f t="array" ref="F59">NPV(0.19,F56:W56)</f>
        <v>168.94766045532558</v>
      </c>
    </row>
    <row r="60" spans="2:23" ht="12.75" x14ac:dyDescent="0.2">
      <c r="E60" s="21" t="s">
        <v>1</v>
      </c>
      <c r="F60" s="1">
        <v>48.53</v>
      </c>
    </row>
    <row r="61" spans="2:23" ht="12.75" x14ac:dyDescent="0.2">
      <c r="E61" s="21" t="s">
        <v>230</v>
      </c>
      <c r="F61" s="9">
        <f>(F58+F101-F100)/F60</f>
        <v>10.693751843459697</v>
      </c>
      <c r="G61" s="37">
        <f>(F59+F101-F100)/F60</f>
        <v>7.252166916450145</v>
      </c>
    </row>
    <row r="62" spans="2:23" ht="12.75" x14ac:dyDescent="0.2">
      <c r="E62" s="21" t="s">
        <v>217</v>
      </c>
      <c r="F62" s="9">
        <v>6.22</v>
      </c>
    </row>
    <row r="63" spans="2:23" ht="12.75" x14ac:dyDescent="0.2">
      <c r="B63" s="7" t="s">
        <v>182</v>
      </c>
      <c r="E63" s="21"/>
    </row>
    <row r="64" spans="2:23" ht="12.75" x14ac:dyDescent="0.2">
      <c r="B64" s="1" t="s">
        <v>183</v>
      </c>
      <c r="C64" s="1">
        <v>4.55</v>
      </c>
      <c r="D64" s="1">
        <v>3.2</v>
      </c>
      <c r="E64" s="21">
        <v>2.91</v>
      </c>
      <c r="F64" s="1">
        <v>3</v>
      </c>
      <c r="G64" s="1">
        <v>3</v>
      </c>
      <c r="H64" s="1">
        <v>3</v>
      </c>
      <c r="I64" s="1">
        <v>3</v>
      </c>
      <c r="J64" s="1">
        <v>3</v>
      </c>
      <c r="K64" s="1">
        <v>3</v>
      </c>
      <c r="L64" s="1">
        <v>3</v>
      </c>
      <c r="M64" s="1">
        <v>3</v>
      </c>
      <c r="N64" s="1">
        <v>3</v>
      </c>
      <c r="O64" s="1">
        <v>3</v>
      </c>
      <c r="P64" s="1">
        <v>3</v>
      </c>
      <c r="Q64" s="1">
        <v>3</v>
      </c>
      <c r="R64" s="1">
        <v>3</v>
      </c>
      <c r="S64" s="1">
        <v>3</v>
      </c>
      <c r="T64" s="1">
        <v>3</v>
      </c>
      <c r="U64" s="1">
        <v>3</v>
      </c>
      <c r="V64" s="1">
        <v>3</v>
      </c>
      <c r="W64" s="1">
        <v>3</v>
      </c>
    </row>
    <row r="65" spans="2:23" ht="12.75" x14ac:dyDescent="0.2">
      <c r="B65" s="1" t="s">
        <v>184</v>
      </c>
      <c r="C65" s="1">
        <v>3</v>
      </c>
      <c r="D65" s="1">
        <v>4.7679999999999998</v>
      </c>
      <c r="E65" s="21">
        <v>6.62</v>
      </c>
      <c r="F65" s="1">
        <v>8</v>
      </c>
      <c r="G65" s="1">
        <f t="shared" ref="G65:N65" si="25">F65*1.02</f>
        <v>8.16</v>
      </c>
      <c r="H65" s="1">
        <f t="shared" si="25"/>
        <v>8.3231999999999999</v>
      </c>
      <c r="I65" s="1">
        <f t="shared" si="25"/>
        <v>8.4896639999999994</v>
      </c>
      <c r="J65" s="1">
        <f t="shared" si="25"/>
        <v>8.6594572799999998</v>
      </c>
      <c r="K65" s="1">
        <f t="shared" si="25"/>
        <v>8.8326464256000001</v>
      </c>
      <c r="L65" s="1">
        <f t="shared" si="25"/>
        <v>9.0092993541120006</v>
      </c>
      <c r="M65" s="1">
        <f t="shared" si="25"/>
        <v>9.1894853411942403</v>
      </c>
      <c r="N65" s="1">
        <f t="shared" si="25"/>
        <v>9.3732750480181259</v>
      </c>
      <c r="O65" s="1">
        <v>5</v>
      </c>
      <c r="P65" s="9">
        <f t="shared" ref="P65:W65" si="26">O65*1.02</f>
        <v>5.0999999999999996</v>
      </c>
      <c r="Q65" s="9">
        <f t="shared" si="26"/>
        <v>5.202</v>
      </c>
      <c r="R65" s="9">
        <f t="shared" si="26"/>
        <v>5.3060400000000003</v>
      </c>
      <c r="S65" s="9">
        <f t="shared" si="26"/>
        <v>5.4121608000000005</v>
      </c>
      <c r="T65" s="9">
        <f t="shared" si="26"/>
        <v>5.5204040160000005</v>
      </c>
      <c r="U65" s="9">
        <f t="shared" si="26"/>
        <v>5.6308120963200006</v>
      </c>
      <c r="V65" s="9">
        <f t="shared" si="26"/>
        <v>5.7434283382464004</v>
      </c>
      <c r="W65" s="9">
        <f t="shared" si="26"/>
        <v>5.8582969050113283</v>
      </c>
    </row>
    <row r="66" spans="2:23" ht="12.75" x14ac:dyDescent="0.2">
      <c r="B66" s="1" t="s">
        <v>185</v>
      </c>
      <c r="C66" s="1">
        <v>0.13</v>
      </c>
      <c r="D66" s="1">
        <v>0.33100000000000002</v>
      </c>
      <c r="E66" s="21">
        <v>2.4460000000000002</v>
      </c>
      <c r="F66" s="1">
        <v>5</v>
      </c>
      <c r="G66" s="1">
        <v>5</v>
      </c>
    </row>
    <row r="67" spans="2:23" ht="12.75" x14ac:dyDescent="0.2">
      <c r="B67" s="1" t="s">
        <v>186</v>
      </c>
      <c r="C67" s="1"/>
      <c r="D67" s="1"/>
      <c r="E67" s="21"/>
      <c r="F67" s="27">
        <f>F46-F53+F64+F65+F66</f>
        <v>-15.400999999999996</v>
      </c>
      <c r="G67" s="27">
        <f t="shared" ref="G67:W67" si="27">G46-G53+G64+G65+G66</f>
        <v>54.54692</v>
      </c>
      <c r="H67" s="27">
        <f t="shared" si="27"/>
        <v>164.90709215999999</v>
      </c>
      <c r="I67" s="27">
        <f t="shared" si="27"/>
        <v>135.57757282559999</v>
      </c>
      <c r="J67" s="27">
        <f t="shared" si="27"/>
        <v>128.78300268195841</v>
      </c>
      <c r="K67" s="27">
        <f t="shared" si="27"/>
        <v>288.37670206405454</v>
      </c>
      <c r="L67" s="27">
        <f t="shared" si="27"/>
        <v>24.056978308773513</v>
      </c>
      <c r="M67" s="27">
        <f t="shared" si="27"/>
        <v>24.574117874948985</v>
      </c>
      <c r="N67" s="27">
        <f t="shared" si="27"/>
        <v>25.101600232447964</v>
      </c>
      <c r="O67" s="27">
        <f t="shared" si="27"/>
        <v>21.078891688118439</v>
      </c>
      <c r="P67" s="27">
        <f t="shared" si="27"/>
        <v>21.536469521880804</v>
      </c>
      <c r="Q67" s="27">
        <f t="shared" si="27"/>
        <v>22.003198912318425</v>
      </c>
      <c r="R67" s="27">
        <f t="shared" si="27"/>
        <v>22.479262890564783</v>
      </c>
      <c r="S67" s="27">
        <f t="shared" si="27"/>
        <v>22.964848148376092</v>
      </c>
      <c r="T67" s="27">
        <f t="shared" si="27"/>
        <v>23.460145111343607</v>
      </c>
      <c r="U67" s="27">
        <f t="shared" si="27"/>
        <v>23.96534801357048</v>
      </c>
      <c r="V67" s="27">
        <f t="shared" si="27"/>
        <v>24.480654973841887</v>
      </c>
      <c r="W67" s="27">
        <f t="shared" si="27"/>
        <v>25.006268073318729</v>
      </c>
    </row>
    <row r="68" spans="2:23" s="38" customFormat="1" ht="12.75" x14ac:dyDescent="0.2">
      <c r="B68" s="14" t="s">
        <v>231</v>
      </c>
      <c r="C68" s="14"/>
      <c r="D68" s="14"/>
      <c r="E68" s="45"/>
      <c r="F68" s="39">
        <f>F47-F54+F64+F65+F66</f>
        <v>-20.958214999999996</v>
      </c>
      <c r="G68" s="39">
        <f t="shared" ref="G68:W68" si="28">G47-G54+G64+G65+G66</f>
        <v>31.873482800000001</v>
      </c>
      <c r="H68" s="39">
        <f t="shared" si="28"/>
        <v>109.40251789439999</v>
      </c>
      <c r="I68" s="39">
        <f t="shared" si="28"/>
        <v>78.96290707468799</v>
      </c>
      <c r="J68" s="39">
        <f t="shared" si="28"/>
        <v>71.036043616028167</v>
      </c>
      <c r="K68" s="39">
        <f t="shared" si="28"/>
        <v>154.90500063578864</v>
      </c>
      <c r="L68" s="39">
        <f t="shared" si="28"/>
        <v>16.054330805309291</v>
      </c>
      <c r="M68" s="39">
        <f t="shared" si="28"/>
        <v>16.411417421415479</v>
      </c>
      <c r="N68" s="39">
        <f t="shared" si="28"/>
        <v>16.775645769843791</v>
      </c>
      <c r="O68" s="39">
        <f t="shared" si="28"/>
        <v>12.586418136262179</v>
      </c>
      <c r="P68" s="39">
        <f t="shared" si="28"/>
        <v>12.874146498987422</v>
      </c>
      <c r="Q68" s="39">
        <f t="shared" si="28"/>
        <v>13.167629428967171</v>
      </c>
      <c r="R68" s="39">
        <f t="shared" si="28"/>
        <v>13.466982017546513</v>
      </c>
      <c r="S68" s="39">
        <f t="shared" si="28"/>
        <v>13.772321657897447</v>
      </c>
      <c r="T68" s="39">
        <f t="shared" si="28"/>
        <v>14.083768091055394</v>
      </c>
      <c r="U68" s="39">
        <f t="shared" si="28"/>
        <v>14.401443452876503</v>
      </c>
      <c r="V68" s="39">
        <f t="shared" si="28"/>
        <v>14.725472321934028</v>
      </c>
      <c r="W68" s="39">
        <f t="shared" si="28"/>
        <v>15.055981768372714</v>
      </c>
    </row>
    <row r="69" spans="2:23" s="38" customFormat="1" ht="12.75" x14ac:dyDescent="0.2">
      <c r="B69" s="14"/>
      <c r="C69" s="14"/>
      <c r="D69" s="14"/>
      <c r="E69" s="45"/>
      <c r="F69" s="39"/>
      <c r="G69" s="39"/>
      <c r="H69" s="39"/>
      <c r="I69" s="39"/>
      <c r="J69" s="39"/>
      <c r="K69" s="39"/>
      <c r="L69" s="39"/>
      <c r="M69" s="39"/>
      <c r="N69" s="39"/>
      <c r="O69" s="39"/>
      <c r="P69" s="39"/>
      <c r="Q69" s="39"/>
      <c r="R69" s="39"/>
      <c r="S69" s="39"/>
      <c r="T69" s="39"/>
      <c r="U69" s="39"/>
      <c r="V69" s="39"/>
      <c r="W69" s="39"/>
    </row>
    <row r="70" spans="2:23" ht="12.75" x14ac:dyDescent="0.2">
      <c r="B70" s="1" t="s">
        <v>4</v>
      </c>
      <c r="E70" s="21">
        <v>18.96</v>
      </c>
      <c r="F70" s="1">
        <v>13</v>
      </c>
      <c r="G70" s="1">
        <v>13</v>
      </c>
      <c r="H70" s="1">
        <v>13</v>
      </c>
      <c r="I70" s="1">
        <v>13</v>
      </c>
      <c r="J70" s="1">
        <v>13</v>
      </c>
      <c r="K70" s="1">
        <v>13</v>
      </c>
      <c r="L70" s="1">
        <v>0</v>
      </c>
      <c r="M70" s="1">
        <v>0</v>
      </c>
      <c r="N70" s="1">
        <v>0</v>
      </c>
      <c r="O70" s="1">
        <v>0</v>
      </c>
      <c r="P70" s="1">
        <v>0</v>
      </c>
      <c r="Q70" s="1">
        <v>0</v>
      </c>
      <c r="R70" s="1">
        <v>0</v>
      </c>
      <c r="S70" s="1">
        <v>0</v>
      </c>
      <c r="T70" s="1">
        <v>0</v>
      </c>
      <c r="U70" s="1">
        <v>0</v>
      </c>
      <c r="V70" s="1">
        <v>0</v>
      </c>
      <c r="W70" s="1">
        <v>0</v>
      </c>
    </row>
    <row r="71" spans="2:23" ht="12.75" x14ac:dyDescent="0.2">
      <c r="B71" s="1" t="s">
        <v>187</v>
      </c>
      <c r="C71" s="1">
        <v>17.72</v>
      </c>
      <c r="D71" s="1">
        <v>26.524000000000001</v>
      </c>
      <c r="E71" s="21">
        <v>45.643999999999998</v>
      </c>
      <c r="F71" s="9"/>
      <c r="G71" s="9"/>
      <c r="H71" s="9"/>
      <c r="I71" s="9"/>
      <c r="J71" s="9"/>
      <c r="K71" s="9"/>
      <c r="L71" s="9"/>
      <c r="M71" s="9"/>
      <c r="N71" s="9"/>
      <c r="O71" s="9"/>
      <c r="P71" s="9"/>
      <c r="Q71" s="9"/>
      <c r="R71" s="9"/>
      <c r="S71" s="9"/>
      <c r="T71" s="9"/>
      <c r="U71" s="9"/>
      <c r="V71" s="9"/>
      <c r="W71" s="9"/>
    </row>
    <row r="72" spans="2:23" ht="12.75" x14ac:dyDescent="0.2">
      <c r="E72" s="21"/>
    </row>
    <row r="73" spans="2:23" ht="12.75" x14ac:dyDescent="0.2">
      <c r="E73" s="1" t="s">
        <v>188</v>
      </c>
    </row>
    <row r="74" spans="2:23" ht="12.75" x14ac:dyDescent="0.2">
      <c r="E74" s="8" t="s">
        <v>189</v>
      </c>
      <c r="F74" s="8">
        <v>2020</v>
      </c>
      <c r="G74" s="8">
        <v>2021</v>
      </c>
      <c r="H74" s="8">
        <v>2022</v>
      </c>
      <c r="I74" s="8">
        <v>2023</v>
      </c>
      <c r="J74" s="8">
        <v>2024</v>
      </c>
    </row>
    <row r="75" spans="2:23" ht="12.75" x14ac:dyDescent="0.2">
      <c r="E75" s="1" t="s">
        <v>190</v>
      </c>
      <c r="F75" s="3">
        <v>8.8999999999999999E-3</v>
      </c>
      <c r="G75" s="3">
        <v>1.4500000000000001E-2</v>
      </c>
      <c r="H75" s="3">
        <v>2.9499999999999998E-2</v>
      </c>
      <c r="I75" s="3">
        <v>3.9600000000000003E-2</v>
      </c>
      <c r="J75" s="3">
        <v>4.2000000000000003E-2</v>
      </c>
    </row>
    <row r="76" spans="2:23" ht="12.75" x14ac:dyDescent="0.2">
      <c r="E76" s="1" t="s">
        <v>191</v>
      </c>
      <c r="F76" s="9">
        <v>0.94</v>
      </c>
      <c r="G76" s="9">
        <v>0.94</v>
      </c>
      <c r="H76" s="9">
        <v>0.94</v>
      </c>
      <c r="I76" s="9">
        <v>0.94</v>
      </c>
      <c r="J76" s="9">
        <v>0.94</v>
      </c>
    </row>
    <row r="77" spans="2:23" ht="12.75" x14ac:dyDescent="0.2">
      <c r="E77" s="1" t="s">
        <v>192</v>
      </c>
      <c r="F77" s="3">
        <v>4.7199999999999999E-2</v>
      </c>
      <c r="G77" s="3">
        <v>4.24E-2</v>
      </c>
      <c r="H77" s="3">
        <v>5.9400000000000001E-2</v>
      </c>
      <c r="I77" s="3">
        <v>4.5999999999999999E-2</v>
      </c>
      <c r="J77" s="3">
        <v>4.3299999999999998E-2</v>
      </c>
    </row>
    <row r="78" spans="2:23" ht="12.75" x14ac:dyDescent="0.2">
      <c r="E78" s="1" t="s">
        <v>193</v>
      </c>
      <c r="F78" s="3">
        <f t="shared" ref="F78:J78" si="29">F75+F76*F77</f>
        <v>5.3267999999999996E-2</v>
      </c>
      <c r="G78" s="3">
        <f t="shared" si="29"/>
        <v>5.4355999999999995E-2</v>
      </c>
      <c r="H78" s="3">
        <f t="shared" si="29"/>
        <v>8.5335999999999995E-2</v>
      </c>
      <c r="I78" s="3">
        <f t="shared" si="29"/>
        <v>8.2839999999999997E-2</v>
      </c>
      <c r="J78" s="3">
        <f t="shared" si="29"/>
        <v>8.2701999999999998E-2</v>
      </c>
    </row>
    <row r="79" spans="2:23" ht="12.75" x14ac:dyDescent="0.2">
      <c r="J79" s="28">
        <f>AVERAGE(F78:J78)</f>
        <v>7.1700399999999997E-2</v>
      </c>
    </row>
    <row r="80" spans="2:23" ht="12.75" x14ac:dyDescent="0.2"/>
    <row r="81" spans="5:23" ht="12.75" x14ac:dyDescent="0.2">
      <c r="E81" s="15" t="s">
        <v>4</v>
      </c>
      <c r="F81" s="15">
        <v>2024</v>
      </c>
      <c r="H81" s="15" t="s">
        <v>189</v>
      </c>
      <c r="I81" s="15">
        <v>2024</v>
      </c>
    </row>
    <row r="82" spans="5:23" ht="12.75" x14ac:dyDescent="0.2">
      <c r="E82" s="1" t="s">
        <v>194</v>
      </c>
      <c r="F82" s="21">
        <f>E70</f>
        <v>18.96</v>
      </c>
      <c r="H82" s="1" t="s">
        <v>195</v>
      </c>
      <c r="I82" s="1">
        <v>48.53</v>
      </c>
    </row>
    <row r="83" spans="5:23" ht="12.75" x14ac:dyDescent="0.2">
      <c r="E83" s="1" t="s">
        <v>196</v>
      </c>
      <c r="F83" s="9">
        <f ca="1">F82/SUM(F82,I83)</f>
        <v>6.9017458577694327E-2</v>
      </c>
      <c r="H83" s="1" t="s">
        <v>189</v>
      </c>
      <c r="I83" s="1">
        <f ca="1">IFERROR(__xludf.DUMMYFUNCTION("J74*googlefinance(""abeo"")"),255.7531)</f>
        <v>255.75309999999999</v>
      </c>
    </row>
    <row r="84" spans="5:23" ht="12.75" x14ac:dyDescent="0.2">
      <c r="E84" s="1" t="s">
        <v>197</v>
      </c>
      <c r="F84" s="25">
        <v>0.13500000000000001</v>
      </c>
      <c r="H84" s="1" t="s">
        <v>198</v>
      </c>
      <c r="I84" s="9">
        <f ca="1">I83/SUM(I83,F82)</f>
        <v>0.93098254142230563</v>
      </c>
    </row>
    <row r="85" spans="5:23" ht="12.75" x14ac:dyDescent="0.2">
      <c r="E85" s="1" t="s">
        <v>199</v>
      </c>
      <c r="F85" s="3">
        <f>F84</f>
        <v>0.13500000000000001</v>
      </c>
      <c r="H85" s="1" t="s">
        <v>200</v>
      </c>
      <c r="I85" s="3">
        <f>J79</f>
        <v>7.1700399999999997E-2</v>
      </c>
    </row>
    <row r="86" spans="5:23" ht="12.75" x14ac:dyDescent="0.2">
      <c r="E86" s="1" t="s">
        <v>188</v>
      </c>
      <c r="F86" s="3">
        <f ca="1">F83*F84+I85*I84</f>
        <v>7.6069177520984618E-2</v>
      </c>
    </row>
    <row r="87" spans="5:23" ht="12.75" x14ac:dyDescent="0.2">
      <c r="E87" s="1" t="s">
        <v>201</v>
      </c>
      <c r="F87" s="29">
        <v>0.15</v>
      </c>
    </row>
    <row r="88" spans="5:23" ht="12.75" x14ac:dyDescent="0.2">
      <c r="E88" s="5" t="s">
        <v>202</v>
      </c>
      <c r="F88" s="46">
        <v>0.2</v>
      </c>
      <c r="G88" s="5"/>
      <c r="H88" s="5"/>
      <c r="I88" s="5"/>
      <c r="J88" s="5"/>
      <c r="K88" s="5"/>
      <c r="L88" s="5"/>
      <c r="M88" s="5"/>
      <c r="N88" s="5"/>
      <c r="O88" s="5"/>
      <c r="P88" s="5"/>
      <c r="Q88" s="5"/>
      <c r="R88" s="5"/>
      <c r="S88" s="5"/>
      <c r="T88" s="5"/>
      <c r="U88" s="5"/>
      <c r="V88" s="5"/>
      <c r="W88" s="5"/>
    </row>
    <row r="89" spans="5:23" ht="12.75" x14ac:dyDescent="0.2">
      <c r="F89" s="5"/>
      <c r="G89" s="5"/>
      <c r="H89" s="5"/>
      <c r="I89" s="5"/>
      <c r="J89" s="5"/>
      <c r="K89" s="5"/>
      <c r="L89" s="5"/>
      <c r="M89" s="5"/>
      <c r="N89" s="5"/>
      <c r="O89" s="5"/>
      <c r="P89" s="5"/>
      <c r="Q89" s="5"/>
      <c r="R89" s="5"/>
      <c r="S89" s="5"/>
      <c r="T89" s="5"/>
      <c r="U89" s="5"/>
      <c r="V89" s="5"/>
      <c r="W89" s="5"/>
    </row>
    <row r="90" spans="5:23" ht="12.75" x14ac:dyDescent="0.2">
      <c r="E90" s="21" t="s">
        <v>203</v>
      </c>
      <c r="F90" s="8">
        <v>2025</v>
      </c>
      <c r="G90" s="8">
        <f t="shared" ref="G90:W90" si="30">F90+1</f>
        <v>2026</v>
      </c>
      <c r="H90" s="8">
        <f t="shared" si="30"/>
        <v>2027</v>
      </c>
      <c r="I90" s="8">
        <f t="shared" si="30"/>
        <v>2028</v>
      </c>
      <c r="J90" s="8">
        <f t="shared" si="30"/>
        <v>2029</v>
      </c>
      <c r="K90" s="8">
        <f t="shared" si="30"/>
        <v>2030</v>
      </c>
      <c r="L90" s="8">
        <f t="shared" si="30"/>
        <v>2031</v>
      </c>
      <c r="M90" s="8">
        <f t="shared" si="30"/>
        <v>2032</v>
      </c>
      <c r="N90" s="8">
        <f t="shared" si="30"/>
        <v>2033</v>
      </c>
      <c r="O90" s="8">
        <f t="shared" si="30"/>
        <v>2034</v>
      </c>
      <c r="P90" s="8">
        <f t="shared" si="30"/>
        <v>2035</v>
      </c>
      <c r="Q90" s="8">
        <f t="shared" si="30"/>
        <v>2036</v>
      </c>
      <c r="R90" s="8">
        <f t="shared" si="30"/>
        <v>2037</v>
      </c>
      <c r="S90" s="8">
        <f t="shared" si="30"/>
        <v>2038</v>
      </c>
      <c r="T90" s="8">
        <f t="shared" si="30"/>
        <v>2039</v>
      </c>
      <c r="U90" s="8">
        <f t="shared" si="30"/>
        <v>2040</v>
      </c>
      <c r="V90" s="8">
        <f t="shared" si="30"/>
        <v>2041</v>
      </c>
      <c r="W90" s="8">
        <f t="shared" si="30"/>
        <v>2042</v>
      </c>
    </row>
    <row r="91" spans="5:23" ht="12.75" x14ac:dyDescent="0.2">
      <c r="E91" s="21" t="s">
        <v>232</v>
      </c>
      <c r="F91" s="9">
        <f ca="1">F$67/((1+$F$86)^(F$90-2024))</f>
        <v>-14.312276870043199</v>
      </c>
      <c r="G91" s="9">
        <f t="shared" ref="G91:W91" ca="1" si="31">G67/((1+$F$86)^(G90-2024))</f>
        <v>47.107477511369645</v>
      </c>
      <c r="H91" s="9">
        <f t="shared" ca="1" si="31"/>
        <v>132.34841917780597</v>
      </c>
      <c r="I91" s="9">
        <f t="shared" ca="1" si="31"/>
        <v>101.11767781495365</v>
      </c>
      <c r="J91" s="9">
        <f t="shared" ca="1" si="31"/>
        <v>89.260144936838671</v>
      </c>
      <c r="K91" s="9">
        <f t="shared" ca="1" si="31"/>
        <v>185.74580745468151</v>
      </c>
      <c r="L91" s="9">
        <f t="shared" ca="1" si="31"/>
        <v>14.399908544527973</v>
      </c>
      <c r="M91" s="9">
        <f t="shared" ca="1" si="31"/>
        <v>13.66961876319697</v>
      </c>
      <c r="N91" s="9">
        <f t="shared" ca="1" si="31"/>
        <v>12.975965504244229</v>
      </c>
      <c r="O91" s="9">
        <f t="shared" ca="1" si="31"/>
        <v>10.126184920519142</v>
      </c>
      <c r="P91" s="9">
        <f t="shared" ca="1" si="31"/>
        <v>9.6146261218661895</v>
      </c>
      <c r="Q91" s="9">
        <f t="shared" ca="1" si="31"/>
        <v>9.1285862440064083</v>
      </c>
      <c r="R91" s="9">
        <f t="shared" ca="1" si="31"/>
        <v>8.6668159246533669</v>
      </c>
      <c r="S91" s="9">
        <f t="shared" ca="1" si="31"/>
        <v>8.2281252226156241</v>
      </c>
      <c r="T91" s="9">
        <f t="shared" ca="1" si="31"/>
        <v>7.8113809229881719</v>
      </c>
      <c r="U91" s="9">
        <f t="shared" ca="1" si="31"/>
        <v>7.4155039543855992</v>
      </c>
      <c r="V91" s="9">
        <f t="shared" ca="1" si="31"/>
        <v>7.0394669143845316</v>
      </c>
      <c r="W91" s="9">
        <f t="shared" ca="1" si="31"/>
        <v>6.6822916994011212</v>
      </c>
    </row>
    <row r="92" spans="5:23" ht="12.75" x14ac:dyDescent="0.2">
      <c r="E92" s="21" t="s">
        <v>205</v>
      </c>
      <c r="F92" s="9">
        <f>F$67/((1+$F87)^(F$90-2024))</f>
        <v>-13.392173913043475</v>
      </c>
      <c r="G92" s="9">
        <f t="shared" ref="G92:W92" si="32">G$67/((1+$F87)^(G$90-2024))</f>
        <v>41.24530812854443</v>
      </c>
      <c r="H92" s="9">
        <f t="shared" si="32"/>
        <v>108.42908993835788</v>
      </c>
      <c r="I92" s="9">
        <f t="shared" si="32"/>
        <v>77.51691729266264</v>
      </c>
      <c r="J92" s="9">
        <f t="shared" si="32"/>
        <v>64.027912835326987</v>
      </c>
      <c r="K92" s="9">
        <f t="shared" si="32"/>
        <v>124.67320632025589</v>
      </c>
      <c r="L92" s="9">
        <f t="shared" si="32"/>
        <v>9.0439092148943629</v>
      </c>
      <c r="M92" s="9">
        <f t="shared" si="32"/>
        <v>8.0333227240256377</v>
      </c>
      <c r="N92" s="9">
        <f t="shared" si="32"/>
        <v>7.1354414281431406</v>
      </c>
      <c r="O92" s="9">
        <f t="shared" si="32"/>
        <v>5.2103796473021973</v>
      </c>
      <c r="P92" s="9">
        <f t="shared" si="32"/>
        <v>4.6291181649292419</v>
      </c>
      <c r="Q92" s="9">
        <f t="shared" si="32"/>
        <v>4.1125552036917883</v>
      </c>
      <c r="R92" s="9">
        <f t="shared" si="32"/>
        <v>3.6535086653672537</v>
      </c>
      <c r="S92" s="9">
        <f t="shared" si="32"/>
        <v>3.2455911696654147</v>
      </c>
      <c r="T92" s="9">
        <f t="shared" si="32"/>
        <v>2.8831224563010642</v>
      </c>
      <c r="U92" s="9">
        <f t="shared" si="32"/>
        <v>2.5610513972995466</v>
      </c>
      <c r="V92" s="9">
        <f t="shared" si="32"/>
        <v>2.2748865712663591</v>
      </c>
      <c r="W92" s="9">
        <f t="shared" si="32"/>
        <v>2.0206344648818266</v>
      </c>
    </row>
    <row r="93" spans="5:23" ht="12.75" x14ac:dyDescent="0.2">
      <c r="E93" s="21" t="s">
        <v>206</v>
      </c>
      <c r="F93" s="9">
        <f>F$67/((1+$F88)^(F$90-2024))</f>
        <v>-12.834166666666665</v>
      </c>
      <c r="G93" s="9">
        <f t="shared" ref="G93:W93" si="33">G$67/((1+$F88)^(G$90-2024))</f>
        <v>37.879805555555556</v>
      </c>
      <c r="H93" s="9">
        <f t="shared" si="33"/>
        <v>95.432344999999998</v>
      </c>
      <c r="I93" s="9">
        <f t="shared" si="33"/>
        <v>65.382702944444446</v>
      </c>
      <c r="J93" s="9">
        <f t="shared" si="33"/>
        <v>51.755000434814818</v>
      </c>
      <c r="K93" s="9">
        <f t="shared" si="33"/>
        <v>96.576774043013813</v>
      </c>
      <c r="L93" s="9">
        <f t="shared" si="33"/>
        <v>6.7138611338767822</v>
      </c>
      <c r="M93" s="9">
        <f t="shared" si="33"/>
        <v>5.7151544132122751</v>
      </c>
      <c r="N93" s="9">
        <f t="shared" si="33"/>
        <v>4.8648582924112747</v>
      </c>
      <c r="O93" s="9">
        <f t="shared" si="33"/>
        <v>3.4043586887614929</v>
      </c>
      <c r="P93" s="9">
        <f t="shared" si="33"/>
        <v>2.8985500529339641</v>
      </c>
      <c r="Q93" s="9">
        <f t="shared" si="33"/>
        <v>2.4678051845661164</v>
      </c>
      <c r="R93" s="9">
        <f t="shared" si="33"/>
        <v>2.1009991065247364</v>
      </c>
      <c r="S93" s="9">
        <f t="shared" si="33"/>
        <v>1.7886531569156423</v>
      </c>
      <c r="T93" s="9">
        <f t="shared" si="33"/>
        <v>1.5226917803529749</v>
      </c>
      <c r="U93" s="9">
        <f t="shared" si="33"/>
        <v>1.2962351774455951</v>
      </c>
      <c r="V93" s="9">
        <f t="shared" si="33"/>
        <v>1.1034225376167277</v>
      </c>
      <c r="W93" s="9">
        <f t="shared" si="33"/>
        <v>0.93926135429752855</v>
      </c>
    </row>
    <row r="94" spans="5:23" ht="12.75" x14ac:dyDescent="0.2">
      <c r="E94" s="21"/>
      <c r="H94" s="1"/>
    </row>
    <row r="95" spans="5:23" ht="12.75" x14ac:dyDescent="0.2">
      <c r="E95" s="21" t="s">
        <v>233</v>
      </c>
      <c r="F95" s="8">
        <v>2025</v>
      </c>
      <c r="G95" s="8">
        <f t="shared" ref="G95" si="34">F95+1</f>
        <v>2026</v>
      </c>
      <c r="H95" s="8">
        <f t="shared" ref="H95" si="35">G95+1</f>
        <v>2027</v>
      </c>
      <c r="I95" s="8">
        <f t="shared" ref="I95" si="36">H95+1</f>
        <v>2028</v>
      </c>
      <c r="J95" s="8">
        <f t="shared" ref="J95" si="37">I95+1</f>
        <v>2029</v>
      </c>
      <c r="K95" s="8">
        <f t="shared" ref="K95" si="38">J95+1</f>
        <v>2030</v>
      </c>
      <c r="L95" s="8">
        <f t="shared" ref="L95" si="39">K95+1</f>
        <v>2031</v>
      </c>
      <c r="M95" s="8">
        <f t="shared" ref="M95" si="40">L95+1</f>
        <v>2032</v>
      </c>
      <c r="N95" s="8">
        <f t="shared" ref="N95" si="41">M95+1</f>
        <v>2033</v>
      </c>
      <c r="O95" s="8">
        <f t="shared" ref="O95" si="42">N95+1</f>
        <v>2034</v>
      </c>
      <c r="P95" s="8">
        <f t="shared" ref="P95" si="43">O95+1</f>
        <v>2035</v>
      </c>
      <c r="Q95" s="8">
        <f t="shared" ref="Q95" si="44">P95+1</f>
        <v>2036</v>
      </c>
      <c r="R95" s="8">
        <f t="shared" ref="R95" si="45">Q95+1</f>
        <v>2037</v>
      </c>
      <c r="S95" s="8">
        <f t="shared" ref="S95" si="46">R95+1</f>
        <v>2038</v>
      </c>
      <c r="T95" s="8">
        <f t="shared" ref="T95" si="47">S95+1</f>
        <v>2039</v>
      </c>
      <c r="U95" s="8">
        <f t="shared" ref="U95" si="48">T95+1</f>
        <v>2040</v>
      </c>
      <c r="V95" s="8">
        <f t="shared" ref="V95" si="49">U95+1</f>
        <v>2041</v>
      </c>
      <c r="W95" s="8">
        <f t="shared" ref="W95" si="50">V95+1</f>
        <v>2042</v>
      </c>
    </row>
    <row r="96" spans="5:23" ht="12.75" x14ac:dyDescent="0.2">
      <c r="E96" s="21" t="s">
        <v>232</v>
      </c>
      <c r="F96" s="9">
        <f ca="1">F$68/((1+$F$86)^(F$90-2024))</f>
        <v>-19.476642801239688</v>
      </c>
      <c r="G96" s="9">
        <f ca="1">G$68/((1+$F$86)^(G95-2024))</f>
        <v>27.526382318378879</v>
      </c>
      <c r="H96" s="9">
        <f t="shared" ref="H96:W96" ca="1" si="51">H$68/((1+$F$86)^(H95-2024))</f>
        <v>87.802471729639578</v>
      </c>
      <c r="I96" s="9">
        <f t="shared" ca="1" si="51"/>
        <v>58.892821508033144</v>
      </c>
      <c r="J96" s="9">
        <f t="shared" ca="1" si="51"/>
        <v>49.235438038086322</v>
      </c>
      <c r="K96" s="9">
        <f t="shared" ca="1" si="51"/>
        <v>99.775585946854449</v>
      </c>
      <c r="L96" s="9">
        <f t="shared" ca="1" si="51"/>
        <v>9.6097228992279913</v>
      </c>
      <c r="M96" s="9">
        <f t="shared" ca="1" si="51"/>
        <v>9.1290283808368198</v>
      </c>
      <c r="N96" s="9">
        <f t="shared" ca="1" si="51"/>
        <v>8.6719650860954296</v>
      </c>
      <c r="O96" s="9">
        <f t="shared" ca="1" si="51"/>
        <v>6.0464468161107323</v>
      </c>
      <c r="P96" s="9">
        <f t="shared" ca="1" si="51"/>
        <v>5.747465019748824</v>
      </c>
      <c r="Q96" s="9">
        <f t="shared" ca="1" si="51"/>
        <v>5.4629257023236306</v>
      </c>
      <c r="R96" s="9">
        <f t="shared" ca="1" si="51"/>
        <v>5.1921566456559285</v>
      </c>
      <c r="S96" s="9">
        <f t="shared" ca="1" si="51"/>
        <v>4.9345149802497001</v>
      </c>
      <c r="T96" s="9">
        <f t="shared" ca="1" si="51"/>
        <v>4.6893860574231949</v>
      </c>
      <c r="U96" s="9">
        <f t="shared" ca="1" si="51"/>
        <v>4.4561823518353991</v>
      </c>
      <c r="V96" s="9">
        <f t="shared" ca="1" si="51"/>
        <v>4.2343423948298016</v>
      </c>
      <c r="W96" s="9">
        <f t="shared" ca="1" si="51"/>
        <v>4.0233297388537217</v>
      </c>
    </row>
    <row r="97" spans="5:23" ht="12.75" x14ac:dyDescent="0.2">
      <c r="E97" s="21" t="s">
        <v>205</v>
      </c>
      <c r="F97" s="9">
        <f>F$68/((1+$F87)^(F$95-2024))</f>
        <v>-18.224534782608693</v>
      </c>
      <c r="G97" s="9">
        <f>G$68/((1+$F87)^(G$95-2024))</f>
        <v>24.100932173913048</v>
      </c>
      <c r="H97" s="9">
        <f t="shared" ref="H97:W97" si="52">H$68/((1+$F87)^(H$95-2024))</f>
        <v>71.933931384499076</v>
      </c>
      <c r="I97" s="9">
        <f t="shared" si="52"/>
        <v>45.147298401413956</v>
      </c>
      <c r="J97" s="9">
        <f t="shared" si="52"/>
        <v>35.317468253523813</v>
      </c>
      <c r="K97" s="9">
        <f t="shared" si="52"/>
        <v>66.969706519548623</v>
      </c>
      <c r="L97" s="9">
        <f t="shared" si="52"/>
        <v>6.0354176008940952</v>
      </c>
      <c r="M97" s="9">
        <f t="shared" si="52"/>
        <v>5.3649214663906175</v>
      </c>
      <c r="N97" s="9">
        <f t="shared" si="52"/>
        <v>4.7686855300668638</v>
      </c>
      <c r="O97" s="9">
        <f t="shared" si="52"/>
        <v>3.1111700681388892</v>
      </c>
      <c r="P97" s="9">
        <f t="shared" si="52"/>
        <v>2.7672105381930909</v>
      </c>
      <c r="Q97" s="9">
        <f t="shared" si="52"/>
        <v>2.4611240912823313</v>
      </c>
      <c r="R97" s="9">
        <f t="shared" si="52"/>
        <v>2.1887610700127804</v>
      </c>
      <c r="S97" s="9">
        <f t="shared" si="52"/>
        <v>1.9464237372640547</v>
      </c>
      <c r="T97" s="9">
        <f t="shared" si="52"/>
        <v>1.7308174293015972</v>
      </c>
      <c r="U97" s="9">
        <f t="shared" si="52"/>
        <v>1.5390069385695841</v>
      </c>
      <c r="V97" s="9">
        <f t="shared" si="52"/>
        <v>1.3683775730884793</v>
      </c>
      <c r="W97" s="9">
        <f t="shared" si="52"/>
        <v>1.2166003969327508</v>
      </c>
    </row>
    <row r="98" spans="5:23" ht="12.75" x14ac:dyDescent="0.2">
      <c r="E98" s="21" t="s">
        <v>206</v>
      </c>
      <c r="F98" s="9">
        <f>F$68/((1+$F88)^(F$95-2024))</f>
        <v>-17.465179166666665</v>
      </c>
      <c r="G98" s="9">
        <f t="shared" ref="G98:W98" si="53">G$68/((1+$F88)^(G$95-2024))</f>
        <v>22.134363055555557</v>
      </c>
      <c r="H98" s="9">
        <f t="shared" si="53"/>
        <v>63.311642299999995</v>
      </c>
      <c r="I98" s="9">
        <f t="shared" si="53"/>
        <v>38.080105649444441</v>
      </c>
      <c r="J98" s="9">
        <f t="shared" si="53"/>
        <v>28.547792734064817</v>
      </c>
      <c r="K98" s="9">
        <f t="shared" si="53"/>
        <v>51.877371290599228</v>
      </c>
      <c r="L98" s="9">
        <f t="shared" si="53"/>
        <v>4.4804690863797028</v>
      </c>
      <c r="M98" s="9">
        <f t="shared" si="53"/>
        <v>3.8167711728397578</v>
      </c>
      <c r="N98" s="9">
        <f t="shared" si="53"/>
        <v>3.2512325380946359</v>
      </c>
      <c r="O98" s="9">
        <f t="shared" si="53"/>
        <v>2.0327767975923492</v>
      </c>
      <c r="P98" s="9">
        <f t="shared" si="53"/>
        <v>1.732705445440192</v>
      </c>
      <c r="Q98" s="9">
        <f t="shared" si="53"/>
        <v>1.4768372681964097</v>
      </c>
      <c r="R98" s="9">
        <f t="shared" si="53"/>
        <v>1.2586763776104863</v>
      </c>
      <c r="S98" s="9">
        <f t="shared" si="53"/>
        <v>1.0726788373385292</v>
      </c>
      <c r="T98" s="9">
        <f t="shared" si="53"/>
        <v>0.91411360871242908</v>
      </c>
      <c r="U98" s="9">
        <f t="shared" si="53"/>
        <v>0.77894373155113117</v>
      </c>
      <c r="V98" s="9">
        <f t="shared" si="53"/>
        <v>0.66372480860643313</v>
      </c>
      <c r="W98" s="9">
        <f t="shared" si="53"/>
        <v>0.56551828463877829</v>
      </c>
    </row>
    <row r="99" spans="5:23" ht="12.75" x14ac:dyDescent="0.2">
      <c r="E99" s="21"/>
      <c r="H99" s="1"/>
    </row>
    <row r="100" spans="5:23" ht="12.75" x14ac:dyDescent="0.2">
      <c r="E100" s="21" t="s">
        <v>4</v>
      </c>
      <c r="F100" s="1">
        <f>cover!C9</f>
        <v>24.1</v>
      </c>
      <c r="H100" s="1"/>
    </row>
    <row r="101" spans="5:23" ht="12.75" x14ac:dyDescent="0.2">
      <c r="E101" s="21" t="s">
        <v>207</v>
      </c>
      <c r="F101" s="1">
        <f>cover!C8</f>
        <v>207.1</v>
      </c>
      <c r="G101" s="1" t="s">
        <v>234</v>
      </c>
      <c r="H101" s="1"/>
      <c r="I101" s="1"/>
    </row>
    <row r="102" spans="5:23" ht="12.75" x14ac:dyDescent="0.2">
      <c r="E102" t="s">
        <v>235</v>
      </c>
      <c r="F102" s="4">
        <f ca="1" xml:space="preserve"> cover!C7- F101+F100</f>
        <v>82.668000000000006</v>
      </c>
      <c r="G102" s="1"/>
      <c r="H102" s="1"/>
      <c r="I102" s="1"/>
    </row>
    <row r="103" spans="5:23" ht="12.75" x14ac:dyDescent="0.2">
      <c r="F103" s="4"/>
      <c r="G103" s="1"/>
      <c r="H103" s="1"/>
      <c r="I103" s="1"/>
    </row>
    <row r="104" spans="5:23" ht="12.75" x14ac:dyDescent="0.2">
      <c r="E104" s="41"/>
      <c r="F104" s="15" t="s">
        <v>236</v>
      </c>
      <c r="G104" s="15" t="s">
        <v>209</v>
      </c>
    </row>
    <row r="105" spans="5:23" ht="12.75" x14ac:dyDescent="0.2">
      <c r="E105" s="21" t="s">
        <v>232</v>
      </c>
      <c r="F105" s="30">
        <f ca="1">SUM(F91:W91)-$F$100+$F$101</f>
        <v>840.02572476239561</v>
      </c>
      <c r="G105" s="30">
        <f t="shared" ref="G105:G107" ca="1" si="54">F105/48.5</f>
        <v>17.320118036338055</v>
      </c>
      <c r="H105" s="30"/>
      <c r="I105" s="30"/>
    </row>
    <row r="106" spans="5:23" ht="12.75" x14ac:dyDescent="0.2">
      <c r="E106" s="21" t="s">
        <v>205</v>
      </c>
      <c r="F106" s="30">
        <f>SUM(F92:W92)-$F$100+$F$101</f>
        <v>640.30378170987217</v>
      </c>
      <c r="G106" s="30">
        <f t="shared" si="54"/>
        <v>13.202139829069528</v>
      </c>
      <c r="H106" s="30"/>
      <c r="I106" s="30"/>
    </row>
    <row r="107" spans="5:23" ht="12.75" x14ac:dyDescent="0.2">
      <c r="E107" s="21" t="s">
        <v>206</v>
      </c>
      <c r="F107" s="30">
        <f>SUM(F93:W93)-$F$100+$F$101</f>
        <v>552.00831219007694</v>
      </c>
      <c r="G107" s="30">
        <f t="shared" si="54"/>
        <v>11.381614684331483</v>
      </c>
      <c r="H107" s="30"/>
      <c r="I107" s="30"/>
    </row>
    <row r="108" spans="5:23" ht="12.75" x14ac:dyDescent="0.2">
      <c r="E108" s="21"/>
      <c r="F108" s="30"/>
    </row>
    <row r="109" spans="5:23" ht="12.75" x14ac:dyDescent="0.2">
      <c r="E109" s="40" t="s">
        <v>237</v>
      </c>
      <c r="F109" s="15" t="s">
        <v>238</v>
      </c>
      <c r="G109" s="15" t="s">
        <v>209</v>
      </c>
    </row>
    <row r="110" spans="5:23" ht="12.75" x14ac:dyDescent="0.2">
      <c r="E110" s="21" t="s">
        <v>232</v>
      </c>
      <c r="F110" s="30">
        <f ca="1">SUM(F96:W96)-$F$100+$F$101</f>
        <v>558.95352281294379</v>
      </c>
      <c r="G110" s="30">
        <f t="shared" ref="G110:G112" ca="1" si="55">F110/48.5</f>
        <v>11.524814903359665</v>
      </c>
      <c r="H110" s="35" t="s">
        <v>239</v>
      </c>
    </row>
    <row r="111" spans="5:23" ht="12.75" x14ac:dyDescent="0.2">
      <c r="E111" s="21" t="s">
        <v>205</v>
      </c>
      <c r="F111" s="30">
        <f>SUM(F97:W97)-$F$100+$F$101</f>
        <v>442.74331839042497</v>
      </c>
      <c r="G111" s="30">
        <f t="shared" si="55"/>
        <v>9.1287282142355668</v>
      </c>
    </row>
    <row r="112" spans="5:23" ht="12.75" x14ac:dyDescent="0.2">
      <c r="E112" s="21" t="s">
        <v>206</v>
      </c>
      <c r="F112" s="30">
        <f t="shared" ref="F112" si="56">SUM(F98:W98)-$F$100+$F$101</f>
        <v>391.53054381999823</v>
      </c>
      <c r="G112" s="30">
        <f t="shared" si="55"/>
        <v>8.0727947179381072</v>
      </c>
    </row>
    <row r="113" ht="12.75" x14ac:dyDescent="0.2"/>
    <row r="116"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8" ht="12.75" x14ac:dyDescent="0.2"/>
    <row r="129" ht="12.75" x14ac:dyDescent="0.2"/>
    <row r="130" ht="12.75" x14ac:dyDescent="0.2"/>
  </sheetData>
  <hyperlinks>
    <hyperlink ref="B6" r:id="rId1" xr:uid="{00000000-0004-0000-0200-000000000000}"/>
    <hyperlink ref="B7" r:id="rId2" xr:uid="{00000000-0004-0000-0200-000001000000}"/>
    <hyperlink ref="B9" r:id="rId3" xr:uid="{00000000-0004-0000-0200-000002000000}"/>
  </hyperlinks>
  <pageMargins left="0.7" right="0.7" top="0.75" bottom="0.75" header="0.3" footer="0.3"/>
</worksheet>
</file>

<file path=docMetadata/LabelInfo.xml><?xml version="1.0" encoding="utf-8"?>
<clbl:labelList xmlns:clbl="http://schemas.microsoft.com/office/2020/mipLabelMetadata">
  <clbl:label id="{5567eafd-e777-42a5-91bb-9440fd43b893}" enabled="0" method="" siteId="{5567eafd-e777-42a5-91bb-9440fd43b89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model </vt:lpstr>
      <vt:lpstr>risk adjusted post approval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Kolchin,F (ug)</cp:lastModifiedBy>
  <cp:revision/>
  <dcterms:created xsi:type="dcterms:W3CDTF">2025-09-11T13:18:15Z</dcterms:created>
  <dcterms:modified xsi:type="dcterms:W3CDTF">2026-01-27T14:49:16Z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{DB3DE795-1840-478C-83D4-85730E5A074C}</vt:lpwstr>
  </property>
</Properties>
</file>